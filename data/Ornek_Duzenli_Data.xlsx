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et\Desktop\"/>
    </mc:Choice>
  </mc:AlternateContent>
  <xr:revisionPtr revIDLastSave="0" documentId="8_{8F5690FC-387D-4356-BDD7-04EB40D81FAC}" xr6:coauthVersionLast="47" xr6:coauthVersionMax="47" xr10:uidLastSave="{00000000-0000-0000-0000-000000000000}"/>
  <bookViews>
    <workbookView xWindow="-108" yWindow="-108" windowWidth="23256" windowHeight="13896" xr2:uid="{B7D0DED3-0920-4BC7-A0F8-D119AF64639B}"/>
  </bookViews>
  <sheets>
    <sheet name="Düzenli Data Örnek" sheetId="1" r:id="rId1"/>
  </sheets>
  <definedNames>
    <definedName name="_xlnm._FilterDatabase" localSheetId="0" hidden="1">'Düzenli Data Örnek'!$A$1:$Z$110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10" i="1" l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</calcChain>
</file>

<file path=xl/sharedStrings.xml><?xml version="1.0" encoding="utf-8"?>
<sst xmlns="http://schemas.openxmlformats.org/spreadsheetml/2006/main" count="1188" uniqueCount="432">
  <si>
    <t>Stok Kodu</t>
  </si>
  <si>
    <t>Stok Kodu Açıklama</t>
  </si>
  <si>
    <t>E-TİCARET RENK</t>
  </si>
  <si>
    <t>Renk Açıklama</t>
  </si>
  <si>
    <t>Marka Açıklama</t>
  </si>
  <si>
    <t>ANAGRUP</t>
  </si>
  <si>
    <t>Alt Kategori</t>
  </si>
  <si>
    <t>E-TİCARET CİNSİYET</t>
  </si>
  <si>
    <t>CİNSİYET</t>
  </si>
  <si>
    <t>Mevcut Sezon Kodu</t>
  </si>
  <si>
    <t>Alış Fiyat</t>
  </si>
  <si>
    <t>Regüle PSF</t>
  </si>
  <si>
    <t>PSF</t>
  </si>
  <si>
    <t>Toplam Satış Miktarı</t>
  </si>
  <si>
    <t>Toplam DSS Miktar</t>
  </si>
  <si>
    <t>Toplam SMM</t>
  </si>
  <si>
    <t>Toplam Initial Ciro</t>
  </si>
  <si>
    <t>Ciro</t>
  </si>
  <si>
    <t>İnd. Oranı</t>
  </si>
  <si>
    <t>Toplam Kar</t>
  </si>
  <si>
    <t>MU</t>
  </si>
  <si>
    <t>Cover (19 hafta)</t>
  </si>
  <si>
    <t>Sell Through %</t>
  </si>
  <si>
    <t>Görsel Link</t>
  </si>
  <si>
    <t>Ürün Giriş Tarihi</t>
  </si>
  <si>
    <t>Ortalama Stok</t>
  </si>
  <si>
    <t>GMROI</t>
  </si>
  <si>
    <t>JN2706</t>
  </si>
  <si>
    <t>Adidas Kalem Kutu BTS EA</t>
  </si>
  <si>
    <t>2 - Siyah</t>
  </si>
  <si>
    <t>Black/White</t>
  </si>
  <si>
    <t>adidas</t>
  </si>
  <si>
    <t>3       - Aksesuar</t>
  </si>
  <si>
    <t>78 - Kalem Kutusu</t>
  </si>
  <si>
    <t>3 - Unisex</t>
  </si>
  <si>
    <t>Unisex - Unisex</t>
  </si>
  <si>
    <t>25F - 25F</t>
  </si>
  <si>
    <t>https://sporthink.mncdn.com/mnresize/150/-/sporthink/uploads/products/original_162506_1.jpeg</t>
  </si>
  <si>
    <t>980234-2001</t>
  </si>
  <si>
    <t>Hummel Kalem Kutu Beatz</t>
  </si>
  <si>
    <t>BLACK</t>
  </si>
  <si>
    <t>Hummel</t>
  </si>
  <si>
    <t>https://sporthink.mncdn.com/mnresize/150/-/sporthink/uploads/products/original_145031_1.jpeg</t>
  </si>
  <si>
    <t>100221602</t>
  </si>
  <si>
    <t>Reebok Ayakkabı Smash Edge</t>
  </si>
  <si>
    <t>8 - Beyaz</t>
  </si>
  <si>
    <t>BEYAZ</t>
  </si>
  <si>
    <t>Reebok</t>
  </si>
  <si>
    <t>1       - Ayakkabı</t>
  </si>
  <si>
    <t>75 - Sneaker</t>
  </si>
  <si>
    <t>Çocuk - Çocuk</t>
  </si>
  <si>
    <t>https://sporthink.mncdn.com/mnresize/150/-/sporthink/uploads/products/original_163937_1.jpeg</t>
  </si>
  <si>
    <t>39229001</t>
  </si>
  <si>
    <t>Puma Ayakkabı Caven 2.0</t>
  </si>
  <si>
    <t>Puma Black/Cool Dark Gray</t>
  </si>
  <si>
    <t>Puma</t>
  </si>
  <si>
    <t>https://sporthink.mncdn.com/mnresize/150/-/sporthink/uploads/products/original_161674_1.jpeg</t>
  </si>
  <si>
    <t>ML408WN</t>
  </si>
  <si>
    <t>New Balance Ayakkabı 408</t>
  </si>
  <si>
    <t>WHITE</t>
  </si>
  <si>
    <t>New Balance</t>
  </si>
  <si>
    <t>76 - Spor Ayakkabı</t>
  </si>
  <si>
    <t>https://sporthink.mncdn.com/mnresize/150/-/sporthink/uploads/products/original_148027_1.jpeg</t>
  </si>
  <si>
    <t>JN2708</t>
  </si>
  <si>
    <t>12 - Pembe</t>
  </si>
  <si>
    <t>PNKFUS/WHITE</t>
  </si>
  <si>
    <t>https://sporthink.mncdn.com/mnresize/150/-/sporthink/uploads/products/original_162508_1.jpeg</t>
  </si>
  <si>
    <t>ML408WS</t>
  </si>
  <si>
    <t>https://sporthink.mncdn.com/mnresize/150/-/sporthink/uploads/products/original_147731_1.jpeg</t>
  </si>
  <si>
    <t>HT3441</t>
  </si>
  <si>
    <t>Adidas Çorap C Spw Ank 3P</t>
  </si>
  <si>
    <t>WHITE/BLACK</t>
  </si>
  <si>
    <t>54 - Çorap</t>
  </si>
  <si>
    <t>https://sporthink.mncdn.com/mnresize/150/-/sporthink/uploads/products/original_158768_1.jpeg</t>
  </si>
  <si>
    <t>JN2709</t>
  </si>
  <si>
    <t>3 - Mavi</t>
  </si>
  <si>
    <t>POWTEA/WHITE</t>
  </si>
  <si>
    <t>https://sporthink.mncdn.com/mnresize/150/-/sporthink/uploads/products/original_162509_1.jpeg</t>
  </si>
  <si>
    <t>39232803</t>
  </si>
  <si>
    <t>Puma Ayakkabı Rebound V6 Low</t>
  </si>
  <si>
    <t>Puma White/Cool Light Gray</t>
  </si>
  <si>
    <t>https://sporthink.mncdn.com/mnresize/150/-/sporthink/uploads/products/original_148724_1.jpeg</t>
  </si>
  <si>
    <t>HT3468</t>
  </si>
  <si>
    <t>Adidas Çorap T Spw Ank 3P</t>
  </si>
  <si>
    <t>https://sporthink.mncdn.com/mnresize/150/-/sporthink/uploads/products/original_102753_1.jpeg</t>
  </si>
  <si>
    <t>ID3714</t>
  </si>
  <si>
    <t>Adidas Ayakkabı Vl Court Base</t>
  </si>
  <si>
    <t>FTWWHT/CBLACK/GREONE</t>
  </si>
  <si>
    <t>1 - Kadın</t>
  </si>
  <si>
    <t>Kadın - Kadın</t>
  </si>
  <si>
    <t>https://sporthink.mncdn.com/mnresize/150/-/sporthink/uploads/products/original_152662_1.jpeg</t>
  </si>
  <si>
    <t>JN2707</t>
  </si>
  <si>
    <t>1 - Lacivert</t>
  </si>
  <si>
    <t>ROYBLU/WHITE</t>
  </si>
  <si>
    <t>https://sporthink.mncdn.com/mnresize/150/-/sporthink/uploads/products/original_162507_1.jpeg</t>
  </si>
  <si>
    <t>77980901</t>
  </si>
  <si>
    <t>Puma Forma Galatasaray Home Replica</t>
  </si>
  <si>
    <t>5 - Çok Renkli</t>
  </si>
  <si>
    <t>Red Rhythm/Intense Orange</t>
  </si>
  <si>
    <t>2       - Giyim</t>
  </si>
  <si>
    <t>15 - Forma</t>
  </si>
  <si>
    <t>2 - Erkek</t>
  </si>
  <si>
    <t>Erkek - Erkek</t>
  </si>
  <si>
    <t>https://sporthink.mncdn.com/mnresize/150/-/sporthink/uploads/products/original_161802_1.jpeg</t>
  </si>
  <si>
    <t>JI0046</t>
  </si>
  <si>
    <t>Adidas Erkek Krampon F50 Club Fg/Mg</t>
  </si>
  <si>
    <t>FTWWHT/CBLACK/GOLDMT</t>
  </si>
  <si>
    <t>3 - Krampon</t>
  </si>
  <si>
    <t>https://sporthink.mncdn.com/mnresize/150/-/sporthink/uploads/products/original_162428_1.jpeg</t>
  </si>
  <si>
    <t>JI8081</t>
  </si>
  <si>
    <t>Adidas Sırt Çanta Classic W Pencil Case</t>
  </si>
  <si>
    <t>35 - Sırt Çantası</t>
  </si>
  <si>
    <t>https://sporthink.mncdn.com/mnresize/150/-/sporthink/uploads/products/original_162444_1.jpeg</t>
  </si>
  <si>
    <t>HT3434</t>
  </si>
  <si>
    <t>Adidas Çorap C Spw Low 3 P</t>
  </si>
  <si>
    <t>https://sporthink.mncdn.com/mnresize/150/-/sporthink/uploads/products/original_162323_1.jpeg</t>
  </si>
  <si>
    <t>JK2784</t>
  </si>
  <si>
    <t>Adidas Erkek Forma Beşiktaş Striped 24</t>
  </si>
  <si>
    <t>https://sporthink.mncdn.com/mnresize/150/-/sporthink/uploads/products/original_161539_1.jpeg</t>
  </si>
  <si>
    <t>IP9774</t>
  </si>
  <si>
    <t>Adidas Sırt Çanta Power VII</t>
  </si>
  <si>
    <t>https://sporthink.mncdn.com/mnresize/150/-/sporthink/uploads/products/original_152519_1.jpeg</t>
  </si>
  <si>
    <t>52811TK-BBK</t>
  </si>
  <si>
    <t>Skechers Erkek Ayakkabı Summits</t>
  </si>
  <si>
    <t>SIYAH</t>
  </si>
  <si>
    <t>Skechers</t>
  </si>
  <si>
    <t>https://sporthink.mncdn.com/mnresize/150/-/sporthink/uploads/products/thumb_65128-0-skechers-erkek-ayakkabi-summits-bbk-154711.jpeg</t>
  </si>
  <si>
    <t>M480GR5</t>
  </si>
  <si>
    <t>New Balance Ayakkabı 480</t>
  </si>
  <si>
    <t>4 - Gri</t>
  </si>
  <si>
    <t>GRI</t>
  </si>
  <si>
    <t>https://sporthink.mncdn.com/mnresize/150/-/sporthink/uploads/products/original_159228_1.jpeg</t>
  </si>
  <si>
    <t>A2082-0147</t>
  </si>
  <si>
    <t>Levis Erkek Tişört Relaxed Fit</t>
  </si>
  <si>
    <t>Greys</t>
  </si>
  <si>
    <t>Levi's</t>
  </si>
  <si>
    <t>26 - Tişört</t>
  </si>
  <si>
    <t>https://sporthink.mncdn.com/mnresize/150/-/sporthink/uploads/products/original_149385_1.jpeg</t>
  </si>
  <si>
    <t>39229002</t>
  </si>
  <si>
    <t>Puma White/Puma Silver</t>
  </si>
  <si>
    <t>https://sporthink.mncdn.com/mnresize/150/-/sporthink/uploads/products/original_148659_1.jpeg</t>
  </si>
  <si>
    <t>IE8574</t>
  </si>
  <si>
    <t>Adidas Çocuk Ayakkabı Runfalcon 5 El C</t>
  </si>
  <si>
    <t>CBLACK/FTWWHT/FTWWHT</t>
  </si>
  <si>
    <t>2 - Koşu Ayakkabısı</t>
  </si>
  <si>
    <t>4 - Çocuk</t>
  </si>
  <si>
    <t>https://sporthink.mncdn.com/mnresize/150/-/sporthink/uploads/products/original_152617_1.jpeg</t>
  </si>
  <si>
    <t>900680-9001</t>
  </si>
  <si>
    <t>Hummel Ayakkabı Freza</t>
  </si>
  <si>
    <t>https://sporthink.mncdn.com/mnresize/150/-/sporthink/uploads/products/original_158052_2.jpeg</t>
  </si>
  <si>
    <t>JP5351</t>
  </si>
  <si>
    <t>Adidas Kadın Ayakkabı Vl Court 3.0</t>
  </si>
  <si>
    <t>7 - Bej</t>
  </si>
  <si>
    <t>OWHITE/GRESIX/GOLDMT</t>
  </si>
  <si>
    <t>https://sporthink.mncdn.com/mnresize/150/-/sporthink/uploads/products/original_162524_1.jpeg</t>
  </si>
  <si>
    <t>IC1282</t>
  </si>
  <si>
    <t>https://sporthink.mncdn.com/mnresize/150/-/sporthink/uploads/products/original_158750_1.jpeg</t>
  </si>
  <si>
    <t>VN000D82BA21</t>
  </si>
  <si>
    <t>Vans Ayakkabı Brooklyn Ls</t>
  </si>
  <si>
    <t>Vans</t>
  </si>
  <si>
    <t>7 - Erkek Çocuk</t>
  </si>
  <si>
    <t>EC - Erkek Çocuk</t>
  </si>
  <si>
    <t>https://sporthink.mncdn.com/mnresize/150/-/sporthink/uploads/products/original_159329_1.jpeg</t>
  </si>
  <si>
    <t>56605-0076</t>
  </si>
  <si>
    <t>Levis Erkek Tişört Original Housemark</t>
  </si>
  <si>
    <t>https://sporthink.mncdn.com/mnresize/150/-/sporthink/uploads/products/original_97662_1.JPG</t>
  </si>
  <si>
    <t>232700TK-BBK</t>
  </si>
  <si>
    <t>Skechers Erkek Ayakkabı Arch Fit 2.0</t>
  </si>
  <si>
    <t>https://sporthink.mncdn.com/mnresize/150/-/sporthink/uploads/products/original_153774_1.jpeg</t>
  </si>
  <si>
    <t>56605-0075</t>
  </si>
  <si>
    <t>https://sporthink.mncdn.com/mnresize/150/-/sporthink/uploads/products/thumb_97661_0_97661-0-levis-erkek-tisort-original-housemark-0075-130297.jpeg</t>
  </si>
  <si>
    <t>A4917-0000</t>
  </si>
  <si>
    <t>Levis Kadın Tişört Perfect</t>
  </si>
  <si>
    <t>Blacks</t>
  </si>
  <si>
    <t>https://sporthink.mncdn.com/mnresize/150/-/sporthink/uploads/products/original_149364_1.jpeg</t>
  </si>
  <si>
    <t>VN0005W6BA21</t>
  </si>
  <si>
    <t>Vans Ayakkabı Caldrone</t>
  </si>
  <si>
    <t>https://sporthink.mncdn.com/mnresize/150/-/sporthink/uploads/products/original_148851_1.jpeg</t>
  </si>
  <si>
    <t>402182L-BKMT</t>
  </si>
  <si>
    <t>Skechers Çocuk Ayakkabı Megacraft 3.0</t>
  </si>
  <si>
    <t>Siyah/Çoklu</t>
  </si>
  <si>
    <t>https://sporthink.mncdn.com/mnresize/150/-/sporthink/uploads/products/original_159559_1.jpeg</t>
  </si>
  <si>
    <t>405626L-BBK</t>
  </si>
  <si>
    <t>Skechers Çocuk Ayakkabı Bounder</t>
  </si>
  <si>
    <t>https://sporthink.mncdn.com/mnresize/150/-/sporthink/uploads/products/original_153740_1.JPG</t>
  </si>
  <si>
    <t>38431101</t>
  </si>
  <si>
    <t>Puma Ayakkabı Rickie Jr</t>
  </si>
  <si>
    <t>Puma White/Puma White/Glacier Gray</t>
  </si>
  <si>
    <t>https://sporthink.mncdn.com/mnresize/150/-/sporthink/uploads/products/thumb_96880_0_96880-0-puma-ayakkabi-rickie-jr-01-148616.jpeg</t>
  </si>
  <si>
    <t>88888316TK-BKRG</t>
  </si>
  <si>
    <t>Skechers Kadın Ayakkabı Summits</t>
  </si>
  <si>
    <t>Siyah/Pembe Altın</t>
  </si>
  <si>
    <t>https://sporthink.mncdn.com/mnresize/150/-/sporthink/uploads/products/original_95542_1.jpeg</t>
  </si>
  <si>
    <t>911865-2001</t>
  </si>
  <si>
    <t>Hummel Erkek Tişört T-Ic Ico Regular</t>
  </si>
  <si>
    <t>https://sporthink.mncdn.com/mnresize/150/-/sporthink/uploads/products/original_149621_1.jpeg</t>
  </si>
  <si>
    <t>JD7999</t>
  </si>
  <si>
    <t>Adidas Kadın Eşofman Alt Small Logo Ft Cf</t>
  </si>
  <si>
    <t>13 - Eşofman Altı</t>
  </si>
  <si>
    <t>https://sporthink.mncdn.com/mnresize/150/-/sporthink/uploads/products/original_158509_1.jpeg</t>
  </si>
  <si>
    <t>IP9878</t>
  </si>
  <si>
    <t>Adidas Sırt Çanta Tr Power</t>
  </si>
  <si>
    <t>https://sporthink.mncdn.com/mnresize/150/-/sporthink/uploads/products/original_152518_1.jpeg</t>
  </si>
  <si>
    <t>39185-0122</t>
  </si>
  <si>
    <t>https://sporthink.mncdn.com/mnresize/150/-/sporthink/uploads/products/original_145884_1.JPG</t>
  </si>
  <si>
    <t>56605-0109</t>
  </si>
  <si>
    <t>https://sporthink.mncdn.com/mnresize/150/-/sporthink/uploads/products/thumb_97696_0_97696-0-levis-erkek-tisort-original-housemark-0109-134195.jpeg</t>
  </si>
  <si>
    <t>JE3224</t>
  </si>
  <si>
    <t>Adidas Sırt Çanta Sp Bp</t>
  </si>
  <si>
    <t>BLACK/SILVMT</t>
  </si>
  <si>
    <t>https://sporthink.mncdn.com/mnresize/150/-/sporthink/uploads/products/original_161904_1.jpeg</t>
  </si>
  <si>
    <t>SOA03-WT</t>
  </si>
  <si>
    <t>New Balance Çorap</t>
  </si>
  <si>
    <t>https://sporthink.mncdn.com/mnresize/150/-/sporthink/uploads/products/original_163884_1.jpeg</t>
  </si>
  <si>
    <t>HT3456</t>
  </si>
  <si>
    <t>Adidas Çorap 3S C Spw Mid 3P</t>
  </si>
  <si>
    <t>https://sporthink.mncdn.com/mnresize/150/-/sporthink/uploads/products/original_158766_1.jpeg</t>
  </si>
  <si>
    <t>931880-2001</t>
  </si>
  <si>
    <t>Hummel Erkek Eşofman Alt Ryen</t>
  </si>
  <si>
    <t>https://sporthink.mncdn.com/mnresize/150/-/sporthink/uploads/products/original_149566_1.JPG</t>
  </si>
  <si>
    <t>JD3092</t>
  </si>
  <si>
    <t>GRETHR/BLACK</t>
  </si>
  <si>
    <t>https://sporthink.mncdn.com/mnresize/150/-/sporthink/uploads/products/original_162381_1.jpeg</t>
  </si>
  <si>
    <t>102024336</t>
  </si>
  <si>
    <t>Lumberjack Erkek Eşofman Alt CT121</t>
  </si>
  <si>
    <t>Lumberjack</t>
  </si>
  <si>
    <t>https://sporthink.mncdn.com/mnresize/150/-/sporthink/uploads/products/original_164279_1.jpeg</t>
  </si>
  <si>
    <t>931902-2001</t>
  </si>
  <si>
    <t>Hummel Erkek Eşofman Alt Yissa</t>
  </si>
  <si>
    <t>https://sporthink.mncdn.com/mnresize/150/-/sporthink/uploads/products/original_149616_1.JPG</t>
  </si>
  <si>
    <t>77981801</t>
  </si>
  <si>
    <t>Puma Çocuk Forma Galatasaray Home Replica</t>
  </si>
  <si>
    <t>https://sporthink.mncdn.com/mnresize/150/-/sporthink/uploads/products/original_161797_1.jpeg</t>
  </si>
  <si>
    <t>A2086-0378</t>
  </si>
  <si>
    <t>Levis Kadın Tişört The Perfect</t>
  </si>
  <si>
    <t>Whites</t>
  </si>
  <si>
    <t>https://sporthink.mncdn.com/mnresize/150/-/sporthink/uploads/products/original_159210_1.jpeg</t>
  </si>
  <si>
    <t>102024254</t>
  </si>
  <si>
    <t>Lumberjack Erkek Softshell Ceket New Trend</t>
  </si>
  <si>
    <t>12 - Ceket</t>
  </si>
  <si>
    <t>https://sporthink.mncdn.com/mnresize/150/-/sporthink/uploads/products/original_164292_1.jpeg</t>
  </si>
  <si>
    <t>102024326</t>
  </si>
  <si>
    <t>Lumberjack Erkek Eşofman Alt CT107 Jogger</t>
  </si>
  <si>
    <t>https://sporthink.mncdn.com/mnresize/150/-/sporthink/uploads/products/original_164282_1.jpeg</t>
  </si>
  <si>
    <t>A3170-0010</t>
  </si>
  <si>
    <t>Levis Kadın Tişört Perfect V Neck</t>
  </si>
  <si>
    <t>Neutrals</t>
  </si>
  <si>
    <t>https://sporthink.mncdn.com/mnresize/150/-/sporthink/uploads/products/original_149366_1.jpeg</t>
  </si>
  <si>
    <t>921136-2001</t>
  </si>
  <si>
    <t>Hummel Çocuk Zip Ceket Jaromir</t>
  </si>
  <si>
    <t>https://sporthink.mncdn.com/mnresize/150/-/sporthink/uploads/products/thumb_69162-0-hummel-cocuk-zip-ceket-jaromir-2001-127850.jpeg</t>
  </si>
  <si>
    <t>JM1840</t>
  </si>
  <si>
    <t>Adidas Kadın Eşofman Alt Aop Ft</t>
  </si>
  <si>
    <t>BLACK/MULTCO</t>
  </si>
  <si>
    <t>https://sporthink.mncdn.com/mnresize/150/-/sporthink/uploads/products/original_162466_1.jpeg</t>
  </si>
  <si>
    <t>EK0003721O91</t>
  </si>
  <si>
    <t>Eastpak Kalemkutu Benchmark Single</t>
  </si>
  <si>
    <t>15 - Kırmızı</t>
  </si>
  <si>
    <t>SCARLET RED</t>
  </si>
  <si>
    <t>Eastpak</t>
  </si>
  <si>
    <t>https://sporthink.mncdn.com/mnresize/150/-/sporthink/uploads/products/original_153653_1.jpeg</t>
  </si>
  <si>
    <t>EK0A5BEC5A21</t>
  </si>
  <si>
    <t>Eastpak Omuz Çanta Cnnct F Pouch</t>
  </si>
  <si>
    <t>CNNCT F Black</t>
  </si>
  <si>
    <t>80 - Omuz Çantası</t>
  </si>
  <si>
    <t>https://sporthink.mncdn.com/mnresize/150/-/sporthink/uploads/products/original_163743_1.jpeg</t>
  </si>
  <si>
    <t>EK0A5BG45V51</t>
  </si>
  <si>
    <t>Eastpak Sırt Çanta Day Pak'r</t>
  </si>
  <si>
    <t>JELLY PINK</t>
  </si>
  <si>
    <t>https://sporthink.mncdn.com/mnresize/150/-/sporthink/uploads/products/original_163731_1.jpeg</t>
  </si>
  <si>
    <t>EK0A5BG46V21</t>
  </si>
  <si>
    <t>ELECTRIC BLUE</t>
  </si>
  <si>
    <t>https://sporthink.mncdn.com/mnresize/150/-/sporthink/uploads/products/original_163732_1.jpeg</t>
  </si>
  <si>
    <t>EK0A5BG46V51</t>
  </si>
  <si>
    <t>AIR BLUE</t>
  </si>
  <si>
    <t>https://sporthink.mncdn.com/mnresize/150/-/sporthink/uploads/products/original_163733_1.jpeg</t>
  </si>
  <si>
    <t>EK0A5BG46V91</t>
  </si>
  <si>
    <t>SHAPE PINK</t>
  </si>
  <si>
    <t>https://sporthink.mncdn.com/mnresize/150/-/sporthink/uploads/products/original_163734_1.jpeg</t>
  </si>
  <si>
    <t>EK0A5BG4K251</t>
  </si>
  <si>
    <t>Pink Escape</t>
  </si>
  <si>
    <t>https://sporthink.mncdn.com/mnresize/150/-/sporthink/uploads/products/original_163735_1.jpeg</t>
  </si>
  <si>
    <t>HS9758</t>
  </si>
  <si>
    <t>Adidas Sırt Çanta Tiro L</t>
  </si>
  <si>
    <t>https://sporthink.mncdn.com/mnresize/150/-/sporthink/uploads/products/original_152699_1.jpeg</t>
  </si>
  <si>
    <t>JD8030</t>
  </si>
  <si>
    <t>Adidas Futbol Topu World Cup Lge</t>
  </si>
  <si>
    <t>WHITE/ROYBLU/SOLBLU/</t>
  </si>
  <si>
    <t>41 - Futbol Topu</t>
  </si>
  <si>
    <t>JD8045</t>
  </si>
  <si>
    <t>Adidas Futbol Topu World Cup Box</t>
  </si>
  <si>
    <t>999     - BOŞ</t>
  </si>
  <si>
    <t>JE3219</t>
  </si>
  <si>
    <t>Adidas Sırt Çanta Ultramodern</t>
  </si>
  <si>
    <t>BLACK/BLACK</t>
  </si>
  <si>
    <t>JM8912</t>
  </si>
  <si>
    <t>Adidas Kadın Tayt</t>
  </si>
  <si>
    <t>BLACK/CBROWN</t>
  </si>
  <si>
    <t>30 - Tayt</t>
  </si>
  <si>
    <t>JN9930</t>
  </si>
  <si>
    <t>Adidas Çocuk Forma Beşiktaş Home Mini</t>
  </si>
  <si>
    <t>https://sporthink.mncdn.com/mnresize/150/-/sporthink/uploads/products/original_162515_1.jpeg</t>
  </si>
  <si>
    <t>JP0795</t>
  </si>
  <si>
    <t>Adidas Erkek Polar Multi Essentials Full Zip Fleece</t>
  </si>
  <si>
    <t>JQ5377</t>
  </si>
  <si>
    <t>Adidas Kadın Ayakkabı Ultraboost 5 Climawarm</t>
  </si>
  <si>
    <t>11 - Mor</t>
  </si>
  <si>
    <t>SHANAV/LEGINK/PREPUR</t>
  </si>
  <si>
    <t>JQ7918</t>
  </si>
  <si>
    <t>Adidas Erkek Basketbol Ayakkabısı Gamechaser</t>
  </si>
  <si>
    <t>CBLACK/FTWWHT/LUCRED</t>
  </si>
  <si>
    <t>5 - Basketbol Ayakkabısı</t>
  </si>
  <si>
    <t>JQ8093</t>
  </si>
  <si>
    <t>Adidas Bebek Ayakkabı Tensaur Switch Comfort Fit I</t>
  </si>
  <si>
    <t>BROYAL/DKBLUE/FTWWHT</t>
  </si>
  <si>
    <t>5 - Bebek</t>
  </si>
  <si>
    <t>Bebek - Bebek</t>
  </si>
  <si>
    <t>JW2435</t>
  </si>
  <si>
    <t>Adidas Çocuk Jogger Set Bl Ft</t>
  </si>
  <si>
    <t>14 - Eşofman Takımı</t>
  </si>
  <si>
    <t>JW4350</t>
  </si>
  <si>
    <t>Adidas Erkek Uzun Kol Tişört Tiro25c Training Top</t>
  </si>
  <si>
    <t>BLACK/PURRUS</t>
  </si>
  <si>
    <t>JX3914</t>
  </si>
  <si>
    <t>Adidas Kadın Ceket Workout Essentials Full Zip Knit</t>
  </si>
  <si>
    <t>WONALU</t>
  </si>
  <si>
    <t>JX3999</t>
  </si>
  <si>
    <t>Adidas Çanta Adidas Prime Tote</t>
  </si>
  <si>
    <t>BLUFUS/BLUFUS</t>
  </si>
  <si>
    <t>36 - Spor Çantası</t>
  </si>
  <si>
    <t>JX7760</t>
  </si>
  <si>
    <t>Adidas Erkek Mont Basic 3 Stripes Insulated Climawarm</t>
  </si>
  <si>
    <t>SILPEB</t>
  </si>
  <si>
    <t>20 - Mont</t>
  </si>
  <si>
    <t>JY3484</t>
  </si>
  <si>
    <t>CHABRN</t>
  </si>
  <si>
    <t>KB2168</t>
  </si>
  <si>
    <t>Adidas Kadın Mont Essentials Mountain Trail Puffer Hoodie</t>
  </si>
  <si>
    <t>WONTAU</t>
  </si>
  <si>
    <t>L47740300</t>
  </si>
  <si>
    <t>Salomon Erkek Outdoor Ayakkabı X Ultra 360 Goretex</t>
  </si>
  <si>
    <t>Castlerock/Black/Spicy Mustard</t>
  </si>
  <si>
    <t>Salomon</t>
  </si>
  <si>
    <t>7 - Outdoor Ayakkabı</t>
  </si>
  <si>
    <t>L47797800</t>
  </si>
  <si>
    <t>Salomon Erkek Outdoor Ayakkabı X Ultra 5 Goretex</t>
  </si>
  <si>
    <t>Asphalt/Castlerock/Burnt Ochre</t>
  </si>
  <si>
    <t>https://sporthink.mncdn.com/mnresize/150/-/sporthink/uploads/products/original_163921_1.jpeg</t>
  </si>
  <si>
    <t>MA5672-023</t>
  </si>
  <si>
    <t>Converse Sırt Çantası Cam Straight Edge</t>
  </si>
  <si>
    <t>Converse</t>
  </si>
  <si>
    <t>MA5672-UFC</t>
  </si>
  <si>
    <t>Mavi</t>
  </si>
  <si>
    <t>MTNTRCB6</t>
  </si>
  <si>
    <t>New Balance Erkek Ayakkabı Nitrel Goretex</t>
  </si>
  <si>
    <t>Beige</t>
  </si>
  <si>
    <t>MTNTRCP6</t>
  </si>
  <si>
    <t>Antrasit</t>
  </si>
  <si>
    <t>NF00A8BAD1R1</t>
  </si>
  <si>
    <t>The North Face Kadın Mont Quest</t>
  </si>
  <si>
    <t>ESTATE BLUE</t>
  </si>
  <si>
    <t>The North Face</t>
  </si>
  <si>
    <t>NF0A3VXF0IT1</t>
  </si>
  <si>
    <t>The North Face Sırt Çanta Jester</t>
  </si>
  <si>
    <t>TNF BLUE/TNF BLACK/SILV</t>
  </si>
  <si>
    <t>NF0A3YFH8Z41</t>
  </si>
  <si>
    <t>The North Face Erkek Mont Quest Triclimate</t>
  </si>
  <si>
    <t>Estate Blue/Summit Navy</t>
  </si>
  <si>
    <t>NF0A7UQJ0UZ1</t>
  </si>
  <si>
    <t>The North Face Kadın Mont Osito</t>
  </si>
  <si>
    <t>SMOKED PEARL</t>
  </si>
  <si>
    <t>NF0A7UQJ4H01</t>
  </si>
  <si>
    <t>TNF Black-NPF</t>
  </si>
  <si>
    <t>NF0A8177DOY1</t>
  </si>
  <si>
    <t>The North Face Erkek Bot Back To Berkeley IV Textile Wp</t>
  </si>
  <si>
    <t>6 - Kahverengi</t>
  </si>
  <si>
    <t>BURNT UMBER/MARS DUST</t>
  </si>
  <si>
    <t>8 - Bot ve Çizme</t>
  </si>
  <si>
    <t>NF0A8A9XKX71</t>
  </si>
  <si>
    <t>The North Face Erkek Patika Koşusu Ayakkabısı Offtrail Goret</t>
  </si>
  <si>
    <t>TNF BLACK/TNF BLACK</t>
  </si>
  <si>
    <t>NF0A8AFB7R81</t>
  </si>
  <si>
    <t>The North Face Erkek Outdoor Ayakkabı Vectiv Fastpack Lite W</t>
  </si>
  <si>
    <t>9 - Haki</t>
  </si>
  <si>
    <t>SYCAMORE/TNF BLACK</t>
  </si>
  <si>
    <t>https://sporthink.mncdn.com/mnresize/150/-/sporthink/uploads/products/original_164134_1.jpeg</t>
  </si>
  <si>
    <t>NF0A8D0QBOM1</t>
  </si>
  <si>
    <t>The North Face Erkek Polar Glacier Fleece 1/4 Zip</t>
  </si>
  <si>
    <t>DUSK BLUE</t>
  </si>
  <si>
    <t>23 - Sweatshirt</t>
  </si>
  <si>
    <t>NF0A8D0QCQI1</t>
  </si>
  <si>
    <t>TNF Mid Grey Heather</t>
  </si>
  <si>
    <t>NF0A8E02E1I1</t>
  </si>
  <si>
    <t>The North Face Kadın Mont Evolve II Triclimate</t>
  </si>
  <si>
    <t>Lunar Blue/Twilight Gal</t>
  </si>
  <si>
    <t>NF0A8E89EUO1</t>
  </si>
  <si>
    <t>The North Face Kadın Polar Yumiori 1/4 Zip</t>
  </si>
  <si>
    <t>Twilight Galaxy/Blue Fl</t>
  </si>
  <si>
    <t>S212502-001</t>
  </si>
  <si>
    <t>Skechers Ayakkabı Deodorantı Anti Odor</t>
  </si>
  <si>
    <t>Standart</t>
  </si>
  <si>
    <t>31 - Ayakkabı Bakım Ürünleri</t>
  </si>
  <si>
    <t>https://sporthink.mncdn.com/mnresize/150/-/sporthink/uploads/products/thumb_89293-0-skechers-ayakkabi-deodoranti-anti-odor-001-159443.jpeg</t>
  </si>
  <si>
    <t>S2510201-3817</t>
  </si>
  <si>
    <t>Skechers Kadın Tayt Basic Flare</t>
  </si>
  <si>
    <t>TB0A6A98Y551</t>
  </si>
  <si>
    <t>Timberland Erkek Bot Green Stride Motion 6 Mid Lace Up Sneak</t>
  </si>
  <si>
    <t>MEDIUM GREY</t>
  </si>
  <si>
    <t>Timberland</t>
  </si>
  <si>
    <t>https://sporthink.mncdn.com/mnresize/150/-/sporthink/uploads/products/original_164013_1.jpeg</t>
  </si>
  <si>
    <t>U530SEB</t>
  </si>
  <si>
    <t>New Balance Erkek Ayakkabı 530</t>
  </si>
  <si>
    <t>U740GB2</t>
  </si>
  <si>
    <t>New Balance Ayakkabı 740</t>
  </si>
  <si>
    <t>U740PH2</t>
  </si>
  <si>
    <t>VN000H4WEMJ1</t>
  </si>
  <si>
    <t>Vans Sırt Çanta Old Skool</t>
  </si>
  <si>
    <t>16 - Sarı</t>
  </si>
  <si>
    <t>Burnt Gold</t>
  </si>
  <si>
    <t>https://sporthink.mncdn.com/mnresize/150/-/sporthink/uploads/products/original_163021_1.jpeg</t>
  </si>
  <si>
    <t>VN000HE67UG1</t>
  </si>
  <si>
    <t>Vans Bel Çantası Traveler Fanny</t>
  </si>
  <si>
    <t>Dachshund</t>
  </si>
  <si>
    <t>38 - Bel Çantası</t>
  </si>
  <si>
    <t>WTNTRCC6</t>
  </si>
  <si>
    <t>New Balance Kadın Ayakkabı Nitrel V6</t>
  </si>
  <si>
    <t>WTNTRCM6</t>
  </si>
  <si>
    <t>14 - Yeşil</t>
  </si>
  <si>
    <t>Green</t>
  </si>
  <si>
    <t>932024-2001</t>
  </si>
  <si>
    <t>Hummel Kadın Eşofman Alt Jonina</t>
  </si>
  <si>
    <t>https://sporthink.mncdn.com/mnresize/150/-/sporthink/uploads/products/original_152240_1.JPG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</si>
</sst>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9" fontId="1" fillId="2" borderId="0" xfId="1" applyFont="1" applyFill="1" applyAlignment="1">
      <alignment wrapText="1"/>
    </xf>
    <xf numFmtId="1" fontId="1" fillId="2" borderId="0" xfId="0" applyNumberFormat="1" applyFont="1" applyFill="1" applyAlignment="1">
      <alignment wrapText="1"/>
    </xf>
    <xf numFmtId="2" fontId="1" fillId="2" borderId="0" xfId="0" applyNumberFormat="1" applyFont="1" applyFill="1" applyAlignment="1">
      <alignment wrapText="1"/>
    </xf>
    <xf numFmtId="14" fontId="1" fillId="2" borderId="0" xfId="0" applyNumberFormat="1" applyFont="1" applyFill="1" applyAlignment="1">
      <alignment wrapText="1"/>
    </xf>
    <xf numFmtId="1" fontId="1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164" fontId="0" fillId="0" borderId="0" xfId="0" applyNumberFormat="1"/>
    <xf numFmtId="9" fontId="0" fillId="0" borderId="0" xfId="1" applyFont="1"/>
    <xf numFmtId="2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/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39DD-67A9-445D-85D8-436FC0FFDEE9}">
  <dimension ref="A1:AC110"/>
  <sheetViews>
    <sheetView tabSelected="1" topLeftCell="L1" workbookViewId="0">
      <pane ySplit="1" topLeftCell="A2" activePane="bottomLeft" state="frozen"/>
      <selection pane="bottomLeft" activeCell="AA2" sqref="AA2"/>
    </sheetView>
  </sheetViews>
  <sheetFormatPr defaultRowHeight="14.4" x14ac:dyDescent="0.3"/>
  <cols>
    <col min="1" max="10" width="17.5546875" customWidth="1"/>
    <col min="11" max="11" width="11" style="9" customWidth="1"/>
    <col min="12" max="12" width="11.6640625" style="9" customWidth="1"/>
    <col min="13" max="13" width="9.6640625" style="9" customWidth="1"/>
    <col min="14" max="14" width="13.5546875" customWidth="1"/>
    <col min="15" max="17" width="17.5546875" customWidth="1"/>
    <col min="18" max="18" width="13.6640625" customWidth="1"/>
    <col min="19" max="19" width="9.33203125" style="10" customWidth="1"/>
    <col min="20" max="20" width="14.33203125" customWidth="1"/>
    <col min="21" max="21" width="10.33203125" style="14" customWidth="1"/>
    <col min="22" max="22" width="13" style="11" customWidth="1"/>
    <col min="23" max="23" width="8.88671875" style="10"/>
    <col min="24" max="24" width="132.33203125" bestFit="1" customWidth="1"/>
    <col min="25" max="25" width="10.109375" style="12" hidden="1" customWidth="1"/>
    <col min="26" max="26" width="0" style="13" hidden="1" customWidth="1"/>
    <col min="27" max="27" width="12" bestFit="1" customWidth="1"/>
  </cols>
  <sheetData>
    <row r="1" spans="1:29" s="8" customFormat="1" ht="40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4" t="s">
        <v>20</v>
      </c>
      <c r="V1" s="5" t="s">
        <v>21</v>
      </c>
      <c r="W1" s="3" t="s">
        <v>22</v>
      </c>
      <c r="X1" s="1" t="s">
        <v>23</v>
      </c>
      <c r="Y1" s="6" t="s">
        <v>24</v>
      </c>
      <c r="Z1" s="7" t="s">
        <v>25</v>
      </c>
      <c r="AA1" s="1" t="s">
        <v>26</v>
      </c>
      <c r="AC1"/>
    </row>
    <row r="2" spans="1:29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s="9">
        <v>334.96</v>
      </c>
      <c r="L2" s="9">
        <v>549</v>
      </c>
      <c r="M2" s="9">
        <v>549</v>
      </c>
      <c r="N2">
        <v>421</v>
      </c>
      <c r="O2">
        <v>179</v>
      </c>
      <c r="P2" s="9">
        <v>141018.16</v>
      </c>
      <c r="Q2" s="9">
        <v>231129</v>
      </c>
      <c r="R2" s="9">
        <v>84361.51</v>
      </c>
      <c r="S2" s="10">
        <v>0.63500248778820489</v>
      </c>
      <c r="T2" s="9">
        <v>90110.84</v>
      </c>
      <c r="U2" s="11">
        <v>0.59823153273308904</v>
      </c>
      <c r="V2" s="11">
        <v>8.0783847980997621</v>
      </c>
      <c r="W2" s="10">
        <v>0.70166666666666666</v>
      </c>
      <c r="X2" t="s">
        <v>37</v>
      </c>
      <c r="Y2" s="12">
        <v>45942</v>
      </c>
      <c r="Z2" s="13">
        <v>90</v>
      </c>
      <c r="AA2">
        <f>(T2/P2)*19</f>
        <v>12.141031764986863</v>
      </c>
    </row>
    <row r="3" spans="1:29" x14ac:dyDescent="0.3">
      <c r="A3" t="s">
        <v>38</v>
      </c>
      <c r="B3" t="s">
        <v>39</v>
      </c>
      <c r="C3" t="s">
        <v>29</v>
      </c>
      <c r="D3" t="s">
        <v>40</v>
      </c>
      <c r="E3" t="s">
        <v>41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s="9">
        <v>106.934046</v>
      </c>
      <c r="L3" s="9">
        <v>299.95</v>
      </c>
      <c r="M3" s="9">
        <v>299.95</v>
      </c>
      <c r="N3">
        <v>300</v>
      </c>
      <c r="O3">
        <v>10</v>
      </c>
      <c r="P3" s="9">
        <v>32080.213799999998</v>
      </c>
      <c r="Q3" s="9">
        <v>89985</v>
      </c>
      <c r="R3" s="9">
        <v>100185</v>
      </c>
      <c r="S3" s="10">
        <v>-0.11335222537089518</v>
      </c>
      <c r="T3" s="9">
        <v>57904.786200000002</v>
      </c>
      <c r="U3" s="11">
        <v>3.1229530022645924</v>
      </c>
      <c r="V3" s="11">
        <v>0.6333333333333333</v>
      </c>
      <c r="W3" s="10">
        <v>0.967741935483871</v>
      </c>
      <c r="X3" t="s">
        <v>42</v>
      </c>
      <c r="Y3" s="12">
        <v>45945</v>
      </c>
      <c r="Z3" s="13">
        <v>5</v>
      </c>
      <c r="AA3">
        <f t="shared" ref="AA3:AA66" si="0">(T3/P3)*19</f>
        <v>34.295000172349233</v>
      </c>
    </row>
    <row r="4" spans="1:29" x14ac:dyDescent="0.3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34</v>
      </c>
      <c r="I4" t="s">
        <v>50</v>
      </c>
      <c r="J4" t="s">
        <v>36</v>
      </c>
      <c r="K4" s="9">
        <v>1420.45</v>
      </c>
      <c r="L4" s="9">
        <v>2499.9899999999998</v>
      </c>
      <c r="M4" s="9">
        <v>1899.99</v>
      </c>
      <c r="N4">
        <v>297</v>
      </c>
      <c r="O4">
        <v>261</v>
      </c>
      <c r="P4" s="9">
        <v>421873.65</v>
      </c>
      <c r="Q4" s="9">
        <v>742497.02999999991</v>
      </c>
      <c r="R4" s="9">
        <v>488647.08</v>
      </c>
      <c r="S4" s="10">
        <v>0.34188682209274279</v>
      </c>
      <c r="T4" s="9">
        <v>320623.37999999989</v>
      </c>
      <c r="U4" s="11">
        <v>1.1582782664904527</v>
      </c>
      <c r="V4" s="11">
        <v>16.696969696969695</v>
      </c>
      <c r="W4" s="10">
        <v>0.532258064516129</v>
      </c>
      <c r="X4" t="s">
        <v>51</v>
      </c>
      <c r="Y4" s="12">
        <v>45946</v>
      </c>
      <c r="Z4" s="13">
        <v>131</v>
      </c>
      <c r="AA4">
        <f t="shared" si="0"/>
        <v>14.439973247914388</v>
      </c>
    </row>
    <row r="5" spans="1:29" x14ac:dyDescent="0.3">
      <c r="A5" t="s">
        <v>52</v>
      </c>
      <c r="B5" t="s">
        <v>53</v>
      </c>
      <c r="C5" t="s">
        <v>29</v>
      </c>
      <c r="D5" t="s">
        <v>54</v>
      </c>
      <c r="E5" t="s">
        <v>55</v>
      </c>
      <c r="F5" t="s">
        <v>48</v>
      </c>
      <c r="G5" t="s">
        <v>49</v>
      </c>
      <c r="H5" t="s">
        <v>34</v>
      </c>
      <c r="I5" t="s">
        <v>35</v>
      </c>
      <c r="J5" t="s">
        <v>36</v>
      </c>
      <c r="K5" s="9">
        <v>2720.9033009999998</v>
      </c>
      <c r="L5" s="9">
        <v>4699</v>
      </c>
      <c r="M5" s="9">
        <v>4699</v>
      </c>
      <c r="N5">
        <v>295</v>
      </c>
      <c r="O5">
        <v>645</v>
      </c>
      <c r="P5" s="9">
        <v>802666.473795</v>
      </c>
      <c r="Q5" s="9">
        <v>1386205</v>
      </c>
      <c r="R5" s="9">
        <v>770321.3</v>
      </c>
      <c r="S5" s="10">
        <v>0.4442948193088323</v>
      </c>
      <c r="T5" s="9">
        <v>583538.526205</v>
      </c>
      <c r="U5" s="11">
        <v>0.95970284688474372</v>
      </c>
      <c r="V5" s="11">
        <v>41.542372881355931</v>
      </c>
      <c r="W5" s="10">
        <v>0.31382978723404253</v>
      </c>
      <c r="X5" t="s">
        <v>56</v>
      </c>
      <c r="Y5" s="12">
        <v>45946</v>
      </c>
      <c r="Z5" s="13">
        <v>323</v>
      </c>
      <c r="AA5">
        <f t="shared" si="0"/>
        <v>13.812999994225079</v>
      </c>
    </row>
    <row r="6" spans="1:29" x14ac:dyDescent="0.3">
      <c r="A6" t="s">
        <v>57</v>
      </c>
      <c r="B6" t="s">
        <v>58</v>
      </c>
      <c r="C6" t="s">
        <v>45</v>
      </c>
      <c r="D6" t="s">
        <v>59</v>
      </c>
      <c r="E6" t="s">
        <v>60</v>
      </c>
      <c r="F6" t="s">
        <v>48</v>
      </c>
      <c r="G6" t="s">
        <v>61</v>
      </c>
      <c r="H6" t="s">
        <v>34</v>
      </c>
      <c r="I6" t="s">
        <v>35</v>
      </c>
      <c r="J6" t="s">
        <v>36</v>
      </c>
      <c r="K6" s="9">
        <v>2389.090909</v>
      </c>
      <c r="L6" s="9">
        <v>4599</v>
      </c>
      <c r="M6" s="9">
        <v>4599</v>
      </c>
      <c r="N6">
        <v>260</v>
      </c>
      <c r="O6">
        <v>884</v>
      </c>
      <c r="P6" s="9">
        <v>621163.63633999997</v>
      </c>
      <c r="Q6" s="9">
        <v>1195740</v>
      </c>
      <c r="R6" s="9">
        <v>1145579.8899999999</v>
      </c>
      <c r="S6" s="10">
        <v>4.1949010654490193E-2</v>
      </c>
      <c r="T6" s="9">
        <v>574576.36366000003</v>
      </c>
      <c r="U6" s="11">
        <v>1.8442481545602833</v>
      </c>
      <c r="V6" s="11">
        <v>64.599999999999994</v>
      </c>
      <c r="W6" s="10">
        <v>0.22727272727272727</v>
      </c>
      <c r="X6" t="s">
        <v>62</v>
      </c>
      <c r="Y6" s="12">
        <v>45946</v>
      </c>
      <c r="Z6" s="13">
        <v>491</v>
      </c>
      <c r="AA6">
        <f t="shared" si="0"/>
        <v>17.575000001391743</v>
      </c>
    </row>
    <row r="7" spans="1:29" x14ac:dyDescent="0.3">
      <c r="A7" t="s">
        <v>63</v>
      </c>
      <c r="B7" t="s">
        <v>28</v>
      </c>
      <c r="C7" t="s">
        <v>64</v>
      </c>
      <c r="D7" t="s">
        <v>65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s="9">
        <v>334.96</v>
      </c>
      <c r="L7" s="9">
        <v>549</v>
      </c>
      <c r="M7" s="9">
        <v>549</v>
      </c>
      <c r="N7">
        <v>241</v>
      </c>
      <c r="O7">
        <v>8</v>
      </c>
      <c r="P7" s="9">
        <v>80725.36</v>
      </c>
      <c r="Q7" s="9">
        <v>132309</v>
      </c>
      <c r="R7" s="9">
        <v>39912.300000000003</v>
      </c>
      <c r="S7" s="10">
        <v>0.69834024896265556</v>
      </c>
      <c r="T7" s="9">
        <v>51583.64</v>
      </c>
      <c r="U7" s="11">
        <v>0.49442083627747219</v>
      </c>
      <c r="V7" s="11">
        <v>0.63070539419087135</v>
      </c>
      <c r="W7" s="10">
        <v>0.96787148594377514</v>
      </c>
      <c r="X7" t="s">
        <v>66</v>
      </c>
      <c r="Y7" s="12">
        <v>45914</v>
      </c>
      <c r="Z7" s="13">
        <v>4</v>
      </c>
      <c r="AA7">
        <f t="shared" si="0"/>
        <v>12.141031764986863</v>
      </c>
    </row>
    <row r="8" spans="1:29" x14ac:dyDescent="0.3">
      <c r="A8" t="s">
        <v>67</v>
      </c>
      <c r="B8" t="s">
        <v>58</v>
      </c>
      <c r="C8" t="s">
        <v>45</v>
      </c>
      <c r="D8" t="s">
        <v>59</v>
      </c>
      <c r="E8" t="s">
        <v>60</v>
      </c>
      <c r="F8" t="s">
        <v>48</v>
      </c>
      <c r="G8" t="s">
        <v>61</v>
      </c>
      <c r="H8" t="s">
        <v>34</v>
      </c>
      <c r="I8" t="s">
        <v>35</v>
      </c>
      <c r="J8" t="s">
        <v>36</v>
      </c>
      <c r="K8" s="9">
        <v>2389.090909</v>
      </c>
      <c r="L8" s="9">
        <v>4599</v>
      </c>
      <c r="M8" s="9">
        <v>4599</v>
      </c>
      <c r="N8">
        <v>228</v>
      </c>
      <c r="O8">
        <v>727</v>
      </c>
      <c r="P8" s="9">
        <v>544712.72725200001</v>
      </c>
      <c r="Q8" s="9">
        <v>1048572</v>
      </c>
      <c r="R8" s="9">
        <v>932438.37</v>
      </c>
      <c r="S8" s="10">
        <v>0.11075408269532283</v>
      </c>
      <c r="T8" s="9">
        <v>503859.27274799999</v>
      </c>
      <c r="U8" s="11">
        <v>1.7117983908766405</v>
      </c>
      <c r="V8" s="11">
        <v>60.583333333333336</v>
      </c>
      <c r="W8" s="10">
        <v>0.23874345549738221</v>
      </c>
      <c r="X8" t="s">
        <v>68</v>
      </c>
      <c r="Y8" s="12">
        <v>45946</v>
      </c>
      <c r="Z8" s="13">
        <v>537</v>
      </c>
      <c r="AA8">
        <f t="shared" si="0"/>
        <v>17.575000001391743</v>
      </c>
    </row>
    <row r="9" spans="1:29" x14ac:dyDescent="0.3">
      <c r="A9" t="s">
        <v>69</v>
      </c>
      <c r="B9" t="s">
        <v>70</v>
      </c>
      <c r="C9" t="s">
        <v>45</v>
      </c>
      <c r="D9" t="s">
        <v>71</v>
      </c>
      <c r="E9" t="s">
        <v>31</v>
      </c>
      <c r="F9" t="s">
        <v>32</v>
      </c>
      <c r="G9" t="s">
        <v>72</v>
      </c>
      <c r="H9" t="s">
        <v>34</v>
      </c>
      <c r="I9" t="s">
        <v>35</v>
      </c>
      <c r="J9" t="s">
        <v>36</v>
      </c>
      <c r="K9" s="9">
        <v>255.64</v>
      </c>
      <c r="L9" s="9">
        <v>419</v>
      </c>
      <c r="M9" s="9">
        <v>419</v>
      </c>
      <c r="N9">
        <v>202</v>
      </c>
      <c r="O9">
        <v>58</v>
      </c>
      <c r="P9" s="9">
        <v>51639.28</v>
      </c>
      <c r="Q9" s="9">
        <v>84638</v>
      </c>
      <c r="R9" s="9">
        <v>84678.04</v>
      </c>
      <c r="S9" s="10">
        <v>-4.7307356033932102E-4</v>
      </c>
      <c r="T9" s="9">
        <v>32998.720000000001</v>
      </c>
      <c r="U9" s="11">
        <v>1.6397990057181278</v>
      </c>
      <c r="V9" s="11">
        <v>5.455445544554455</v>
      </c>
      <c r="W9" s="10">
        <v>0.77692307692307694</v>
      </c>
      <c r="X9" t="s">
        <v>73</v>
      </c>
      <c r="Y9" s="12">
        <v>45946</v>
      </c>
      <c r="Z9" s="13">
        <v>59</v>
      </c>
      <c r="AA9">
        <f t="shared" si="0"/>
        <v>12.141448912533251</v>
      </c>
    </row>
    <row r="10" spans="1:29" x14ac:dyDescent="0.3">
      <c r="A10" t="s">
        <v>74</v>
      </c>
      <c r="B10" t="s">
        <v>28</v>
      </c>
      <c r="C10" t="s">
        <v>75</v>
      </c>
      <c r="D10" t="s">
        <v>76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 t="s">
        <v>36</v>
      </c>
      <c r="K10" s="9">
        <v>334.96</v>
      </c>
      <c r="L10" s="9">
        <v>549</v>
      </c>
      <c r="M10" s="9">
        <v>549</v>
      </c>
      <c r="N10">
        <v>197</v>
      </c>
      <c r="O10">
        <v>4</v>
      </c>
      <c r="P10" s="9">
        <v>65987.12</v>
      </c>
      <c r="Q10" s="9">
        <v>108153</v>
      </c>
      <c r="R10" s="9">
        <v>36069.300000000003</v>
      </c>
      <c r="S10" s="10">
        <v>0.666497461928934</v>
      </c>
      <c r="T10" s="9">
        <v>42165.880000000005</v>
      </c>
      <c r="U10" s="11">
        <v>0.54661121746183206</v>
      </c>
      <c r="V10" s="11">
        <v>0.38578680203045684</v>
      </c>
      <c r="W10" s="10">
        <v>0.98009950248756217</v>
      </c>
      <c r="X10" t="s">
        <v>77</v>
      </c>
      <c r="Y10" s="12">
        <v>45904</v>
      </c>
      <c r="Z10" s="13">
        <v>2</v>
      </c>
      <c r="AA10">
        <f t="shared" si="0"/>
        <v>12.141031764986867</v>
      </c>
    </row>
    <row r="11" spans="1:29" x14ac:dyDescent="0.3">
      <c r="A11" t="s">
        <v>78</v>
      </c>
      <c r="B11" t="s">
        <v>79</v>
      </c>
      <c r="C11" t="s">
        <v>45</v>
      </c>
      <c r="D11" t="s">
        <v>80</v>
      </c>
      <c r="E11" t="s">
        <v>55</v>
      </c>
      <c r="F11" t="s">
        <v>48</v>
      </c>
      <c r="G11" t="s">
        <v>49</v>
      </c>
      <c r="H11" t="s">
        <v>34</v>
      </c>
      <c r="I11" t="s">
        <v>35</v>
      </c>
      <c r="J11" t="s">
        <v>36</v>
      </c>
      <c r="K11" s="9">
        <v>2547.1916620000002</v>
      </c>
      <c r="L11" s="9">
        <v>4399</v>
      </c>
      <c r="M11" s="9">
        <v>4399</v>
      </c>
      <c r="N11">
        <v>180</v>
      </c>
      <c r="O11">
        <v>656</v>
      </c>
      <c r="P11" s="9">
        <v>458494.49916000001</v>
      </c>
      <c r="Q11" s="9">
        <v>791820</v>
      </c>
      <c r="R11" s="9">
        <v>729490.13</v>
      </c>
      <c r="S11" s="10">
        <v>7.8717221085600309E-2</v>
      </c>
      <c r="T11" s="9">
        <v>333325.50083999999</v>
      </c>
      <c r="U11" s="11">
        <v>1.5910553590860665</v>
      </c>
      <c r="V11" s="11">
        <v>69.24444444444444</v>
      </c>
      <c r="W11" s="10">
        <v>0.21531100478468901</v>
      </c>
      <c r="X11" t="s">
        <v>81</v>
      </c>
      <c r="Y11" s="12">
        <v>45945</v>
      </c>
      <c r="Z11" s="13">
        <v>383</v>
      </c>
      <c r="AA11">
        <f t="shared" si="0"/>
        <v>13.812999997956181</v>
      </c>
    </row>
    <row r="12" spans="1:29" x14ac:dyDescent="0.3">
      <c r="A12" t="s">
        <v>82</v>
      </c>
      <c r="B12" t="s">
        <v>83</v>
      </c>
      <c r="C12" t="s">
        <v>45</v>
      </c>
      <c r="D12" t="s">
        <v>71</v>
      </c>
      <c r="E12" t="s">
        <v>31</v>
      </c>
      <c r="F12" t="s">
        <v>32</v>
      </c>
      <c r="G12" t="s">
        <v>72</v>
      </c>
      <c r="H12" t="s">
        <v>34</v>
      </c>
      <c r="I12" t="s">
        <v>35</v>
      </c>
      <c r="J12" t="s">
        <v>36</v>
      </c>
      <c r="K12" s="9">
        <v>255.64</v>
      </c>
      <c r="L12" s="9">
        <v>419</v>
      </c>
      <c r="M12" s="9">
        <v>419</v>
      </c>
      <c r="N12">
        <v>170</v>
      </c>
      <c r="O12">
        <v>31</v>
      </c>
      <c r="P12" s="9">
        <v>43458.799999999996</v>
      </c>
      <c r="Q12" s="9">
        <v>71230</v>
      </c>
      <c r="R12" s="9">
        <v>76612.759999999995</v>
      </c>
      <c r="S12" s="10">
        <v>-7.5568721044503739E-2</v>
      </c>
      <c r="T12" s="9">
        <v>27771.200000000004</v>
      </c>
      <c r="U12" s="11">
        <v>1.7628825462276916</v>
      </c>
      <c r="V12" s="11">
        <v>3.4647058823529409</v>
      </c>
      <c r="W12" s="10">
        <v>0.845771144278607</v>
      </c>
      <c r="X12" t="s">
        <v>84</v>
      </c>
      <c r="Y12" s="12">
        <v>45939</v>
      </c>
      <c r="Z12" s="13">
        <v>16</v>
      </c>
      <c r="AA12">
        <f t="shared" si="0"/>
        <v>12.141448912533253</v>
      </c>
    </row>
    <row r="13" spans="1:29" x14ac:dyDescent="0.3">
      <c r="A13" t="s">
        <v>85</v>
      </c>
      <c r="B13" t="s">
        <v>86</v>
      </c>
      <c r="C13" t="s">
        <v>45</v>
      </c>
      <c r="D13" t="s">
        <v>87</v>
      </c>
      <c r="E13" t="s">
        <v>31</v>
      </c>
      <c r="F13" t="s">
        <v>48</v>
      </c>
      <c r="G13" t="s">
        <v>49</v>
      </c>
      <c r="H13" t="s">
        <v>88</v>
      </c>
      <c r="I13" t="s">
        <v>89</v>
      </c>
      <c r="J13" t="s">
        <v>36</v>
      </c>
      <c r="K13" s="9">
        <v>2012.81</v>
      </c>
      <c r="L13" s="9">
        <v>3299</v>
      </c>
      <c r="M13" s="9">
        <v>3299</v>
      </c>
      <c r="N13">
        <v>160</v>
      </c>
      <c r="O13">
        <v>432</v>
      </c>
      <c r="P13" s="9">
        <v>322049.59999999998</v>
      </c>
      <c r="Q13" s="9">
        <v>527840</v>
      </c>
      <c r="R13" s="9">
        <v>492678.79</v>
      </c>
      <c r="S13" s="10">
        <v>6.6613386632312865E-2</v>
      </c>
      <c r="T13" s="9">
        <v>205790.40000000002</v>
      </c>
      <c r="U13" s="11">
        <v>1.5298227043287742</v>
      </c>
      <c r="V13" s="11">
        <v>51.300000000000004</v>
      </c>
      <c r="W13" s="10">
        <v>0.27027027027027029</v>
      </c>
      <c r="X13" t="s">
        <v>90</v>
      </c>
      <c r="Y13" s="12">
        <v>45946</v>
      </c>
      <c r="Z13" s="13">
        <v>270</v>
      </c>
      <c r="AA13">
        <f t="shared" si="0"/>
        <v>12.14104162837029</v>
      </c>
    </row>
    <row r="14" spans="1:29" x14ac:dyDescent="0.3">
      <c r="A14" t="s">
        <v>91</v>
      </c>
      <c r="B14" t="s">
        <v>28</v>
      </c>
      <c r="C14" t="s">
        <v>92</v>
      </c>
      <c r="D14" t="s">
        <v>93</v>
      </c>
      <c r="E14" t="s">
        <v>31</v>
      </c>
      <c r="F14" t="s">
        <v>32</v>
      </c>
      <c r="G14" t="s">
        <v>33</v>
      </c>
      <c r="H14" t="s">
        <v>34</v>
      </c>
      <c r="I14" t="s">
        <v>35</v>
      </c>
      <c r="J14" t="s">
        <v>36</v>
      </c>
      <c r="K14" s="9">
        <v>334.96</v>
      </c>
      <c r="L14" s="9">
        <v>549</v>
      </c>
      <c r="M14" s="9">
        <v>549</v>
      </c>
      <c r="N14">
        <v>159</v>
      </c>
      <c r="O14">
        <v>90</v>
      </c>
      <c r="P14" s="9">
        <v>53258.64</v>
      </c>
      <c r="Q14" s="9">
        <v>87291</v>
      </c>
      <c r="R14" s="9">
        <v>22060</v>
      </c>
      <c r="S14" s="10">
        <v>0.74728207948127534</v>
      </c>
      <c r="T14" s="9">
        <v>34032.36</v>
      </c>
      <c r="U14" s="11">
        <v>0.41420509423447538</v>
      </c>
      <c r="V14" s="11">
        <v>10.754716981132075</v>
      </c>
      <c r="W14" s="10">
        <v>0.63855421686746983</v>
      </c>
      <c r="X14" t="s">
        <v>94</v>
      </c>
      <c r="Y14" s="12">
        <v>45938</v>
      </c>
      <c r="Z14" s="13">
        <v>45</v>
      </c>
      <c r="AA14">
        <f t="shared" si="0"/>
        <v>12.141031764986863</v>
      </c>
    </row>
    <row r="15" spans="1:29" x14ac:dyDescent="0.3">
      <c r="A15" t="s">
        <v>95</v>
      </c>
      <c r="B15" t="s">
        <v>96</v>
      </c>
      <c r="C15" t="s">
        <v>97</v>
      </c>
      <c r="D15" t="s">
        <v>98</v>
      </c>
      <c r="E15" t="s">
        <v>55</v>
      </c>
      <c r="F15" t="s">
        <v>99</v>
      </c>
      <c r="G15" t="s">
        <v>100</v>
      </c>
      <c r="H15" t="s">
        <v>101</v>
      </c>
      <c r="I15" t="s">
        <v>102</v>
      </c>
      <c r="J15" t="s">
        <v>36</v>
      </c>
      <c r="K15" s="9">
        <v>2605.6687900000002</v>
      </c>
      <c r="L15" s="9">
        <v>4499.99</v>
      </c>
      <c r="M15" s="9">
        <v>4499.99</v>
      </c>
      <c r="N15">
        <v>157</v>
      </c>
      <c r="O15">
        <v>523</v>
      </c>
      <c r="P15" s="9">
        <v>409090.00003000005</v>
      </c>
      <c r="Q15" s="9">
        <v>706498.42999999993</v>
      </c>
      <c r="R15" s="9">
        <v>696038.6</v>
      </c>
      <c r="S15" s="10">
        <v>1.4805170904625964E-2</v>
      </c>
      <c r="T15" s="9">
        <v>297408.42996999988</v>
      </c>
      <c r="U15" s="11">
        <v>1.7014314697229387</v>
      </c>
      <c r="V15" s="11">
        <v>63.29299363057325</v>
      </c>
      <c r="W15" s="10">
        <v>0.23088235294117648</v>
      </c>
      <c r="X15" t="s">
        <v>103</v>
      </c>
      <c r="Y15" s="12">
        <v>45945</v>
      </c>
      <c r="Z15" s="13">
        <v>262</v>
      </c>
      <c r="AA15">
        <f t="shared" si="0"/>
        <v>13.8129999975937</v>
      </c>
    </row>
    <row r="16" spans="1:29" x14ac:dyDescent="0.3">
      <c r="A16" t="s">
        <v>104</v>
      </c>
      <c r="B16" t="s">
        <v>105</v>
      </c>
      <c r="C16" t="s">
        <v>97</v>
      </c>
      <c r="D16" t="s">
        <v>106</v>
      </c>
      <c r="E16" t="s">
        <v>31</v>
      </c>
      <c r="F16" t="s">
        <v>48</v>
      </c>
      <c r="G16" t="s">
        <v>107</v>
      </c>
      <c r="H16" t="s">
        <v>101</v>
      </c>
      <c r="I16" t="s">
        <v>102</v>
      </c>
      <c r="J16" t="s">
        <v>36</v>
      </c>
      <c r="K16" s="9">
        <v>2012.81</v>
      </c>
      <c r="L16" s="9">
        <v>3299</v>
      </c>
      <c r="M16" s="9">
        <v>3299</v>
      </c>
      <c r="N16">
        <v>150</v>
      </c>
      <c r="O16">
        <v>60</v>
      </c>
      <c r="P16" s="9">
        <v>301921.5</v>
      </c>
      <c r="Q16" s="9">
        <v>494850</v>
      </c>
      <c r="R16" s="9">
        <v>490717.64</v>
      </c>
      <c r="S16" s="10">
        <v>8.3507325452156778E-3</v>
      </c>
      <c r="T16" s="9">
        <v>192928.5</v>
      </c>
      <c r="U16" s="11">
        <v>1.6253153220290706</v>
      </c>
      <c r="V16" s="11">
        <v>7.6000000000000005</v>
      </c>
      <c r="W16" s="10">
        <v>0.7142857142857143</v>
      </c>
      <c r="X16" t="s">
        <v>108</v>
      </c>
      <c r="Y16" s="12">
        <v>45946</v>
      </c>
      <c r="Z16" s="13">
        <v>30</v>
      </c>
      <c r="AA16">
        <f t="shared" si="0"/>
        <v>12.141041628370289</v>
      </c>
    </row>
    <row r="17" spans="1:27" x14ac:dyDescent="0.3">
      <c r="A17" t="s">
        <v>109</v>
      </c>
      <c r="B17" t="s">
        <v>110</v>
      </c>
      <c r="C17" t="s">
        <v>29</v>
      </c>
      <c r="D17" t="s">
        <v>30</v>
      </c>
      <c r="E17" t="s">
        <v>31</v>
      </c>
      <c r="F17" t="s">
        <v>32</v>
      </c>
      <c r="G17" t="s">
        <v>111</v>
      </c>
      <c r="H17" t="s">
        <v>34</v>
      </c>
      <c r="I17" t="s">
        <v>35</v>
      </c>
      <c r="J17" t="s">
        <v>36</v>
      </c>
      <c r="K17" s="9">
        <v>1067.1099999999999</v>
      </c>
      <c r="L17" s="9">
        <v>1749</v>
      </c>
      <c r="M17" s="9">
        <v>1749</v>
      </c>
      <c r="N17">
        <v>148</v>
      </c>
      <c r="O17">
        <v>102</v>
      </c>
      <c r="P17" s="9">
        <v>157932.28</v>
      </c>
      <c r="Q17" s="9">
        <v>258852</v>
      </c>
      <c r="R17" s="9">
        <v>258627.3</v>
      </c>
      <c r="S17" s="10">
        <v>8.6806360391267212E-4</v>
      </c>
      <c r="T17" s="9">
        <v>100919.72</v>
      </c>
      <c r="U17" s="11">
        <v>1.6375835263063383</v>
      </c>
      <c r="V17" s="11">
        <v>13.094594594594593</v>
      </c>
      <c r="W17" s="10">
        <v>0.59199999999999997</v>
      </c>
      <c r="X17" t="s">
        <v>112</v>
      </c>
      <c r="Y17" s="12">
        <v>45945</v>
      </c>
      <c r="Z17" s="13">
        <v>51</v>
      </c>
      <c r="AA17">
        <f t="shared" si="0"/>
        <v>12.14111947221936</v>
      </c>
    </row>
    <row r="18" spans="1:27" x14ac:dyDescent="0.3">
      <c r="A18" t="s">
        <v>113</v>
      </c>
      <c r="B18" t="s">
        <v>114</v>
      </c>
      <c r="C18" t="s">
        <v>45</v>
      </c>
      <c r="D18" t="s">
        <v>71</v>
      </c>
      <c r="E18" t="s">
        <v>31</v>
      </c>
      <c r="F18" t="s">
        <v>32</v>
      </c>
      <c r="G18" t="s">
        <v>72</v>
      </c>
      <c r="H18" t="s">
        <v>34</v>
      </c>
      <c r="I18" t="s">
        <v>35</v>
      </c>
      <c r="J18" t="s">
        <v>36</v>
      </c>
      <c r="K18" s="9">
        <v>255.64</v>
      </c>
      <c r="L18" s="9">
        <v>419</v>
      </c>
      <c r="M18" s="9">
        <v>419</v>
      </c>
      <c r="N18">
        <v>145</v>
      </c>
      <c r="O18">
        <v>55</v>
      </c>
      <c r="P18" s="9">
        <v>37067.799999999996</v>
      </c>
      <c r="Q18" s="9">
        <v>60755</v>
      </c>
      <c r="R18" s="9">
        <v>64077.9</v>
      </c>
      <c r="S18" s="10">
        <v>-5.4693440869064247E-2</v>
      </c>
      <c r="T18" s="9">
        <v>23687.200000000004</v>
      </c>
      <c r="U18" s="11">
        <v>1.7286674688004147</v>
      </c>
      <c r="V18" s="11">
        <v>7.2068965517241379</v>
      </c>
      <c r="W18" s="10">
        <v>0.72499999999999998</v>
      </c>
      <c r="X18" t="s">
        <v>115</v>
      </c>
      <c r="Y18" s="12">
        <v>45944</v>
      </c>
      <c r="Z18" s="13">
        <v>28</v>
      </c>
      <c r="AA18">
        <f t="shared" si="0"/>
        <v>12.141448912533253</v>
      </c>
    </row>
    <row r="19" spans="1:27" x14ac:dyDescent="0.3">
      <c r="A19" t="s">
        <v>116</v>
      </c>
      <c r="B19" t="s">
        <v>117</v>
      </c>
      <c r="C19" t="s">
        <v>97</v>
      </c>
      <c r="D19" t="s">
        <v>59</v>
      </c>
      <c r="E19" t="s">
        <v>31</v>
      </c>
      <c r="F19" t="s">
        <v>99</v>
      </c>
      <c r="G19" t="s">
        <v>100</v>
      </c>
      <c r="H19" t="s">
        <v>101</v>
      </c>
      <c r="I19" t="s">
        <v>102</v>
      </c>
      <c r="J19" t="s">
        <v>36</v>
      </c>
      <c r="K19" s="9">
        <v>1829.77</v>
      </c>
      <c r="L19" s="9">
        <v>2999</v>
      </c>
      <c r="M19" s="9">
        <v>1949.99</v>
      </c>
      <c r="N19">
        <v>145</v>
      </c>
      <c r="O19">
        <v>43</v>
      </c>
      <c r="P19" s="9">
        <v>265316.65000000002</v>
      </c>
      <c r="Q19" s="9">
        <v>434855</v>
      </c>
      <c r="R19" s="9">
        <v>285522.08</v>
      </c>
      <c r="S19" s="10">
        <v>0.34340853847834329</v>
      </c>
      <c r="T19" s="9">
        <v>169538.34999999998</v>
      </c>
      <c r="U19" s="11">
        <v>1.0761559065365855</v>
      </c>
      <c r="V19" s="11">
        <v>5.6344827586206891</v>
      </c>
      <c r="W19" s="10">
        <v>0.77127659574468088</v>
      </c>
      <c r="X19" t="s">
        <v>118</v>
      </c>
      <c r="Y19" s="12">
        <v>45944</v>
      </c>
      <c r="Z19" s="13">
        <v>116</v>
      </c>
      <c r="AA19">
        <f t="shared" si="0"/>
        <v>12.141072375216554</v>
      </c>
    </row>
    <row r="20" spans="1:27" x14ac:dyDescent="0.3">
      <c r="A20" t="s">
        <v>119</v>
      </c>
      <c r="B20" t="s">
        <v>120</v>
      </c>
      <c r="C20" t="s">
        <v>29</v>
      </c>
      <c r="D20" t="s">
        <v>30</v>
      </c>
      <c r="E20" t="s">
        <v>31</v>
      </c>
      <c r="F20" t="s">
        <v>32</v>
      </c>
      <c r="G20" t="s">
        <v>111</v>
      </c>
      <c r="H20" t="s">
        <v>34</v>
      </c>
      <c r="I20" t="s">
        <v>35</v>
      </c>
      <c r="J20" t="s">
        <v>36</v>
      </c>
      <c r="K20" s="9">
        <v>1219.6500000000001</v>
      </c>
      <c r="L20" s="9">
        <v>1999</v>
      </c>
      <c r="M20" s="9">
        <v>1999</v>
      </c>
      <c r="N20">
        <v>144</v>
      </c>
      <c r="O20">
        <v>15</v>
      </c>
      <c r="P20" s="9">
        <v>175629.6</v>
      </c>
      <c r="Q20" s="9">
        <v>287856</v>
      </c>
      <c r="R20" s="9">
        <v>285632.5</v>
      </c>
      <c r="S20" s="10">
        <v>7.7243482852537015E-3</v>
      </c>
      <c r="T20" s="9">
        <v>112226.4</v>
      </c>
      <c r="U20" s="11">
        <v>1.6263346269649306</v>
      </c>
      <c r="V20" s="11">
        <v>1.9791666666666667</v>
      </c>
      <c r="W20" s="10">
        <v>0.90566037735849059</v>
      </c>
      <c r="X20" t="s">
        <v>121</v>
      </c>
      <c r="Y20" s="12">
        <v>45916</v>
      </c>
      <c r="Z20" s="13">
        <v>8</v>
      </c>
      <c r="AA20">
        <f t="shared" si="0"/>
        <v>12.140901078178164</v>
      </c>
    </row>
    <row r="21" spans="1:27" x14ac:dyDescent="0.3">
      <c r="A21" t="s">
        <v>122</v>
      </c>
      <c r="B21" t="s">
        <v>123</v>
      </c>
      <c r="C21" t="s">
        <v>29</v>
      </c>
      <c r="D21" t="s">
        <v>124</v>
      </c>
      <c r="E21" t="s">
        <v>125</v>
      </c>
      <c r="F21" t="s">
        <v>48</v>
      </c>
      <c r="G21" t="s">
        <v>61</v>
      </c>
      <c r="H21" t="s">
        <v>101</v>
      </c>
      <c r="I21" t="s">
        <v>102</v>
      </c>
      <c r="J21" t="s">
        <v>36</v>
      </c>
      <c r="K21" s="9">
        <v>2085.026738</v>
      </c>
      <c r="L21" s="9">
        <v>3899</v>
      </c>
      <c r="M21" s="9">
        <v>3899</v>
      </c>
      <c r="N21">
        <v>141</v>
      </c>
      <c r="O21">
        <v>117</v>
      </c>
      <c r="P21" s="9">
        <v>293988.77005799999</v>
      </c>
      <c r="Q21" s="9">
        <v>549759</v>
      </c>
      <c r="R21" s="9">
        <v>533789.30000000005</v>
      </c>
      <c r="S21" s="10">
        <v>2.9048546726838431E-2</v>
      </c>
      <c r="T21" s="9">
        <v>255770.22994200001</v>
      </c>
      <c r="U21" s="11">
        <v>1.8156792175928715</v>
      </c>
      <c r="V21" s="11">
        <v>15.76595744680851</v>
      </c>
      <c r="W21" s="10">
        <v>0.54651162790697672</v>
      </c>
      <c r="X21" t="s">
        <v>126</v>
      </c>
      <c r="Y21" s="12">
        <v>45945</v>
      </c>
      <c r="Z21" s="13">
        <v>116</v>
      </c>
      <c r="AA21">
        <f t="shared" si="0"/>
        <v>16.529999999453246</v>
      </c>
    </row>
    <row r="22" spans="1:27" x14ac:dyDescent="0.3">
      <c r="A22" t="s">
        <v>127</v>
      </c>
      <c r="B22" t="s">
        <v>128</v>
      </c>
      <c r="C22" t="s">
        <v>129</v>
      </c>
      <c r="D22" t="s">
        <v>130</v>
      </c>
      <c r="E22" t="s">
        <v>60</v>
      </c>
      <c r="F22" t="s">
        <v>48</v>
      </c>
      <c r="G22" t="s">
        <v>49</v>
      </c>
      <c r="H22" t="s">
        <v>34</v>
      </c>
      <c r="I22" t="s">
        <v>35</v>
      </c>
      <c r="J22" t="s">
        <v>36</v>
      </c>
      <c r="K22" s="9">
        <v>2389.090909</v>
      </c>
      <c r="L22" s="9">
        <v>4599</v>
      </c>
      <c r="M22" s="9">
        <v>4599</v>
      </c>
      <c r="N22">
        <v>140</v>
      </c>
      <c r="O22">
        <v>400</v>
      </c>
      <c r="P22" s="9">
        <v>334472.72726000001</v>
      </c>
      <c r="Q22" s="9">
        <v>643860</v>
      </c>
      <c r="R22" s="9">
        <v>558871.85</v>
      </c>
      <c r="S22" s="10">
        <v>0.1319978722082441</v>
      </c>
      <c r="T22" s="9">
        <v>309387.27273999999</v>
      </c>
      <c r="U22" s="11">
        <v>1.6709040960627108</v>
      </c>
      <c r="V22" s="11">
        <v>54.285714285714285</v>
      </c>
      <c r="W22" s="10">
        <v>0.25925925925925924</v>
      </c>
      <c r="X22" t="s">
        <v>131</v>
      </c>
      <c r="Y22" s="12">
        <v>45945</v>
      </c>
      <c r="Z22" s="13">
        <v>315</v>
      </c>
      <c r="AA22">
        <f t="shared" si="0"/>
        <v>17.575000001391743</v>
      </c>
    </row>
    <row r="23" spans="1:27" x14ac:dyDescent="0.3">
      <c r="A23" t="s">
        <v>132</v>
      </c>
      <c r="B23" t="s">
        <v>133</v>
      </c>
      <c r="C23" t="s">
        <v>29</v>
      </c>
      <c r="D23" t="s">
        <v>134</v>
      </c>
      <c r="E23" t="s">
        <v>135</v>
      </c>
      <c r="F23" t="s">
        <v>99</v>
      </c>
      <c r="G23" t="s">
        <v>136</v>
      </c>
      <c r="H23" t="s">
        <v>101</v>
      </c>
      <c r="I23" t="s">
        <v>102</v>
      </c>
      <c r="J23" t="s">
        <v>36</v>
      </c>
      <c r="K23" s="9">
        <v>395.21739100000002</v>
      </c>
      <c r="L23" s="9">
        <v>999.9</v>
      </c>
      <c r="M23" s="9">
        <v>999.9</v>
      </c>
      <c r="N23">
        <v>131</v>
      </c>
      <c r="O23">
        <v>71</v>
      </c>
      <c r="P23" s="9">
        <v>51773.478221000005</v>
      </c>
      <c r="Q23" s="9">
        <v>130986.9</v>
      </c>
      <c r="R23" s="9">
        <v>115873.69</v>
      </c>
      <c r="S23" s="10">
        <v>0.11537955322249771</v>
      </c>
      <c r="T23" s="9">
        <v>79213.421778999997</v>
      </c>
      <c r="U23" s="11">
        <v>2.2380897320705819</v>
      </c>
      <c r="V23" s="11">
        <v>10.297709923664122</v>
      </c>
      <c r="W23" s="10">
        <v>0.64851485148514854</v>
      </c>
      <c r="X23" t="s">
        <v>137</v>
      </c>
      <c r="Y23" s="12">
        <v>45940</v>
      </c>
      <c r="Z23" s="13">
        <v>89</v>
      </c>
      <c r="AA23">
        <f t="shared" si="0"/>
        <v>29.0700000370176</v>
      </c>
    </row>
    <row r="24" spans="1:27" x14ac:dyDescent="0.3">
      <c r="A24" t="s">
        <v>138</v>
      </c>
      <c r="B24" t="s">
        <v>53</v>
      </c>
      <c r="C24" t="s">
        <v>45</v>
      </c>
      <c r="D24" t="s">
        <v>139</v>
      </c>
      <c r="E24" t="s">
        <v>55</v>
      </c>
      <c r="F24" t="s">
        <v>48</v>
      </c>
      <c r="G24" t="s">
        <v>49</v>
      </c>
      <c r="H24" t="s">
        <v>34</v>
      </c>
      <c r="I24" t="s">
        <v>35</v>
      </c>
      <c r="J24" t="s">
        <v>36</v>
      </c>
      <c r="K24" s="9">
        <v>2720.9033009999998</v>
      </c>
      <c r="L24" s="9">
        <v>4699</v>
      </c>
      <c r="M24" s="9">
        <v>4699</v>
      </c>
      <c r="N24">
        <v>129</v>
      </c>
      <c r="O24">
        <v>365</v>
      </c>
      <c r="P24" s="9">
        <v>350996.52582899999</v>
      </c>
      <c r="Q24" s="9">
        <v>606171</v>
      </c>
      <c r="R24" s="9">
        <v>559974.03</v>
      </c>
      <c r="S24" s="10">
        <v>7.621111864473884E-2</v>
      </c>
      <c r="T24" s="9">
        <v>255174.47417100001</v>
      </c>
      <c r="U24" s="11">
        <v>1.5953833978197567</v>
      </c>
      <c r="V24" s="11">
        <v>53.759689922480625</v>
      </c>
      <c r="W24" s="10">
        <v>0.26113360323886642</v>
      </c>
      <c r="X24" t="s">
        <v>140</v>
      </c>
      <c r="Y24" s="12">
        <v>45945</v>
      </c>
      <c r="Z24" s="13">
        <v>212</v>
      </c>
      <c r="AA24">
        <f t="shared" si="0"/>
        <v>13.812999994225081</v>
      </c>
    </row>
    <row r="25" spans="1:27" x14ac:dyDescent="0.3">
      <c r="A25" t="s">
        <v>141</v>
      </c>
      <c r="B25" t="s">
        <v>142</v>
      </c>
      <c r="C25" t="s">
        <v>29</v>
      </c>
      <c r="D25" t="s">
        <v>143</v>
      </c>
      <c r="E25" t="s">
        <v>31</v>
      </c>
      <c r="F25" t="s">
        <v>48</v>
      </c>
      <c r="G25" t="s">
        <v>144</v>
      </c>
      <c r="H25" t="s">
        <v>145</v>
      </c>
      <c r="I25" t="s">
        <v>50</v>
      </c>
      <c r="J25" t="s">
        <v>36</v>
      </c>
      <c r="K25" s="9">
        <v>1677.24</v>
      </c>
      <c r="L25" s="9">
        <v>2749</v>
      </c>
      <c r="M25" s="9">
        <v>2749</v>
      </c>
      <c r="N25">
        <v>129</v>
      </c>
      <c r="O25">
        <v>236</v>
      </c>
      <c r="P25" s="9">
        <v>216363.96</v>
      </c>
      <c r="Q25" s="9">
        <v>354621</v>
      </c>
      <c r="R25" s="9">
        <v>341651.29</v>
      </c>
      <c r="S25" s="10">
        <v>3.6573440377191457E-2</v>
      </c>
      <c r="T25" s="9">
        <v>138257.04</v>
      </c>
      <c r="U25" s="11">
        <v>1.5790582220809788</v>
      </c>
      <c r="V25" s="11">
        <v>34.759689922480618</v>
      </c>
      <c r="W25" s="10">
        <v>0.35342465753424657</v>
      </c>
      <c r="X25" t="s">
        <v>146</v>
      </c>
      <c r="Y25" s="12">
        <v>45944</v>
      </c>
      <c r="Z25" s="13">
        <v>156</v>
      </c>
      <c r="AA25">
        <f t="shared" si="0"/>
        <v>12.141041234408911</v>
      </c>
    </row>
    <row r="26" spans="1:27" x14ac:dyDescent="0.3">
      <c r="A26" t="s">
        <v>147</v>
      </c>
      <c r="B26" t="s">
        <v>148</v>
      </c>
      <c r="C26" t="s">
        <v>45</v>
      </c>
      <c r="D26" t="s">
        <v>59</v>
      </c>
      <c r="E26" t="s">
        <v>41</v>
      </c>
      <c r="F26" t="s">
        <v>48</v>
      </c>
      <c r="G26" t="s">
        <v>49</v>
      </c>
      <c r="H26" t="s">
        <v>101</v>
      </c>
      <c r="I26" t="s">
        <v>35</v>
      </c>
      <c r="J26" t="s">
        <v>36</v>
      </c>
      <c r="K26" s="9">
        <v>855.59714799999995</v>
      </c>
      <c r="L26" s="9">
        <v>2399.9499999999998</v>
      </c>
      <c r="M26" s="9">
        <v>2399.9499999999998</v>
      </c>
      <c r="N26">
        <v>125</v>
      </c>
      <c r="O26">
        <v>251</v>
      </c>
      <c r="P26" s="9">
        <v>106949.64349999999</v>
      </c>
      <c r="Q26" s="9">
        <v>299993.75</v>
      </c>
      <c r="R26" s="9">
        <v>214064.85</v>
      </c>
      <c r="S26" s="10">
        <v>0.28643563407570993</v>
      </c>
      <c r="T26" s="9">
        <v>193044.10649999999</v>
      </c>
      <c r="U26" s="11">
        <v>2.0015480463008744</v>
      </c>
      <c r="V26" s="11">
        <v>38.152000000000001</v>
      </c>
      <c r="W26" s="10">
        <v>0.33244680851063829</v>
      </c>
      <c r="X26" t="s">
        <v>149</v>
      </c>
      <c r="Y26" s="12">
        <v>45946</v>
      </c>
      <c r="Z26" s="13">
        <v>184</v>
      </c>
      <c r="AA26">
        <f t="shared" si="0"/>
        <v>34.294999996891065</v>
      </c>
    </row>
    <row r="27" spans="1:27" x14ac:dyDescent="0.3">
      <c r="A27" t="s">
        <v>150</v>
      </c>
      <c r="B27" t="s">
        <v>151</v>
      </c>
      <c r="C27" t="s">
        <v>152</v>
      </c>
      <c r="D27" t="s">
        <v>153</v>
      </c>
      <c r="E27" t="s">
        <v>31</v>
      </c>
      <c r="F27" t="s">
        <v>48</v>
      </c>
      <c r="G27" t="s">
        <v>49</v>
      </c>
      <c r="H27" t="s">
        <v>88</v>
      </c>
      <c r="I27" t="s">
        <v>89</v>
      </c>
      <c r="J27" t="s">
        <v>36</v>
      </c>
      <c r="K27" s="9">
        <v>2561.9299999999998</v>
      </c>
      <c r="L27" s="9">
        <v>4199</v>
      </c>
      <c r="M27" s="9">
        <v>4199</v>
      </c>
      <c r="N27">
        <v>120</v>
      </c>
      <c r="O27">
        <v>31</v>
      </c>
      <c r="P27" s="9">
        <v>307431.59999999998</v>
      </c>
      <c r="Q27" s="9">
        <v>503880</v>
      </c>
      <c r="R27" s="9">
        <v>488804.35</v>
      </c>
      <c r="S27" s="10">
        <v>2.9919127570056436E-2</v>
      </c>
      <c r="T27" s="9">
        <v>196448.40000000002</v>
      </c>
      <c r="U27" s="11">
        <v>1.58996131171942</v>
      </c>
      <c r="V27" s="11">
        <v>4.9083333333333341</v>
      </c>
      <c r="W27" s="10">
        <v>0.79470198675496684</v>
      </c>
      <c r="X27" t="s">
        <v>154</v>
      </c>
      <c r="Y27" s="12">
        <v>45945</v>
      </c>
      <c r="Z27" s="13">
        <v>16</v>
      </c>
      <c r="AA27">
        <f t="shared" si="0"/>
        <v>12.140975748751918</v>
      </c>
    </row>
    <row r="28" spans="1:27" x14ac:dyDescent="0.3">
      <c r="A28" t="s">
        <v>155</v>
      </c>
      <c r="B28" t="s">
        <v>83</v>
      </c>
      <c r="C28" t="s">
        <v>29</v>
      </c>
      <c r="D28" t="s">
        <v>30</v>
      </c>
      <c r="E28" t="s">
        <v>31</v>
      </c>
      <c r="F28" t="s">
        <v>32</v>
      </c>
      <c r="G28" t="s">
        <v>72</v>
      </c>
      <c r="H28" t="s">
        <v>34</v>
      </c>
      <c r="I28" t="s">
        <v>35</v>
      </c>
      <c r="J28" t="s">
        <v>36</v>
      </c>
      <c r="K28" s="9">
        <v>255.64</v>
      </c>
      <c r="L28" s="9">
        <v>419</v>
      </c>
      <c r="M28" s="9">
        <v>419</v>
      </c>
      <c r="N28">
        <v>119</v>
      </c>
      <c r="O28">
        <v>176</v>
      </c>
      <c r="P28" s="9">
        <v>30421.16</v>
      </c>
      <c r="Q28" s="9">
        <v>49861</v>
      </c>
      <c r="R28" s="9">
        <v>49081</v>
      </c>
      <c r="S28" s="10">
        <v>1.5643488899139579E-2</v>
      </c>
      <c r="T28" s="9">
        <v>19439.84</v>
      </c>
      <c r="U28" s="11">
        <v>1.6133835790614164</v>
      </c>
      <c r="V28" s="11">
        <v>28.100840336134453</v>
      </c>
      <c r="W28" s="10">
        <v>0.4033898305084746</v>
      </c>
      <c r="X28" t="s">
        <v>156</v>
      </c>
      <c r="Y28" s="12">
        <v>45898</v>
      </c>
      <c r="Z28" s="13">
        <v>136</v>
      </c>
      <c r="AA28">
        <f t="shared" si="0"/>
        <v>12.141448912533251</v>
      </c>
    </row>
    <row r="29" spans="1:27" x14ac:dyDescent="0.3">
      <c r="A29" t="s">
        <v>157</v>
      </c>
      <c r="B29" t="s">
        <v>158</v>
      </c>
      <c r="C29" t="s">
        <v>29</v>
      </c>
      <c r="D29" t="s">
        <v>30</v>
      </c>
      <c r="E29" t="s">
        <v>159</v>
      </c>
      <c r="F29" t="s">
        <v>48</v>
      </c>
      <c r="G29" t="s">
        <v>49</v>
      </c>
      <c r="H29" t="s">
        <v>160</v>
      </c>
      <c r="I29" t="s">
        <v>161</v>
      </c>
      <c r="J29" t="s">
        <v>36</v>
      </c>
      <c r="K29" s="9">
        <v>1291.3875599999999</v>
      </c>
      <c r="L29" s="9">
        <v>2699</v>
      </c>
      <c r="M29" s="9">
        <v>2699</v>
      </c>
      <c r="N29">
        <v>117</v>
      </c>
      <c r="O29">
        <v>261</v>
      </c>
      <c r="P29" s="9">
        <v>151092.34451999998</v>
      </c>
      <c r="Q29" s="9">
        <v>315783</v>
      </c>
      <c r="R29" s="9">
        <v>278933.71000000002</v>
      </c>
      <c r="S29" s="10">
        <v>0.11669181051544886</v>
      </c>
      <c r="T29" s="9">
        <v>164690.65548000002</v>
      </c>
      <c r="U29" s="11">
        <v>1.8461141157491123</v>
      </c>
      <c r="V29" s="11">
        <v>42.384615384615387</v>
      </c>
      <c r="W29" s="10">
        <v>0.30952380952380953</v>
      </c>
      <c r="X29" t="s">
        <v>162</v>
      </c>
      <c r="Y29" s="12">
        <v>45946</v>
      </c>
      <c r="Z29" s="13">
        <v>201</v>
      </c>
      <c r="AA29">
        <f t="shared" si="0"/>
        <v>20.70999999411486</v>
      </c>
    </row>
    <row r="30" spans="1:27" x14ac:dyDescent="0.3">
      <c r="A30" t="s">
        <v>163</v>
      </c>
      <c r="B30" t="s">
        <v>164</v>
      </c>
      <c r="C30" t="s">
        <v>29</v>
      </c>
      <c r="D30" t="s">
        <v>124</v>
      </c>
      <c r="E30" t="s">
        <v>135</v>
      </c>
      <c r="F30" t="s">
        <v>99</v>
      </c>
      <c r="G30" t="s">
        <v>136</v>
      </c>
      <c r="H30" t="s">
        <v>101</v>
      </c>
      <c r="I30" t="s">
        <v>102</v>
      </c>
      <c r="J30" t="s">
        <v>36</v>
      </c>
      <c r="K30" s="9">
        <v>395.21739100000002</v>
      </c>
      <c r="L30" s="9">
        <v>999.9</v>
      </c>
      <c r="M30" s="9">
        <v>999.9</v>
      </c>
      <c r="N30">
        <v>114</v>
      </c>
      <c r="O30">
        <v>12</v>
      </c>
      <c r="P30" s="9">
        <v>45054.782574000004</v>
      </c>
      <c r="Q30" s="9">
        <v>113988.59999999999</v>
      </c>
      <c r="R30" s="9">
        <v>101980.61</v>
      </c>
      <c r="S30" s="10">
        <v>0.10534377999203426</v>
      </c>
      <c r="T30" s="9">
        <v>68933.817425999994</v>
      </c>
      <c r="U30" s="11">
        <v>2.2634802383632073</v>
      </c>
      <c r="V30" s="11">
        <v>2</v>
      </c>
      <c r="W30" s="10">
        <v>0.90476190476190477</v>
      </c>
      <c r="X30" t="s">
        <v>165</v>
      </c>
      <c r="Y30" s="12">
        <v>45935</v>
      </c>
      <c r="Z30" s="13">
        <v>41</v>
      </c>
      <c r="AA30">
        <f t="shared" si="0"/>
        <v>29.070000037017593</v>
      </c>
    </row>
    <row r="31" spans="1:27" x14ac:dyDescent="0.3">
      <c r="A31" t="s">
        <v>166</v>
      </c>
      <c r="B31" t="s">
        <v>167</v>
      </c>
      <c r="C31" t="s">
        <v>29</v>
      </c>
      <c r="D31" t="s">
        <v>124</v>
      </c>
      <c r="E31" t="s">
        <v>125</v>
      </c>
      <c r="F31" t="s">
        <v>48</v>
      </c>
      <c r="G31" t="s">
        <v>61</v>
      </c>
      <c r="H31" t="s">
        <v>101</v>
      </c>
      <c r="I31" t="s">
        <v>102</v>
      </c>
      <c r="J31" t="s">
        <v>36</v>
      </c>
      <c r="K31" s="9">
        <v>2940.6417110000002</v>
      </c>
      <c r="L31" s="9">
        <v>5499</v>
      </c>
      <c r="M31" s="9">
        <v>5499</v>
      </c>
      <c r="N31">
        <v>112</v>
      </c>
      <c r="O31">
        <v>89</v>
      </c>
      <c r="P31" s="9">
        <v>329351.87163200002</v>
      </c>
      <c r="Q31" s="9">
        <v>615888</v>
      </c>
      <c r="R31" s="9">
        <v>586665.5</v>
      </c>
      <c r="S31" s="10">
        <v>4.7447750240303455E-2</v>
      </c>
      <c r="T31" s="9">
        <v>286536.12836799998</v>
      </c>
      <c r="U31" s="11">
        <v>1.7812727071899208</v>
      </c>
      <c r="V31" s="11">
        <v>15.098214285714285</v>
      </c>
      <c r="W31" s="10">
        <v>0.55721393034825872</v>
      </c>
      <c r="X31" t="s">
        <v>168</v>
      </c>
      <c r="Y31" s="12">
        <v>45945</v>
      </c>
      <c r="Z31" s="13">
        <v>100</v>
      </c>
      <c r="AA31">
        <f t="shared" si="0"/>
        <v>16.530000002778301</v>
      </c>
    </row>
    <row r="32" spans="1:27" x14ac:dyDescent="0.3">
      <c r="A32" t="s">
        <v>169</v>
      </c>
      <c r="B32" t="s">
        <v>164</v>
      </c>
      <c r="C32" t="s">
        <v>45</v>
      </c>
      <c r="D32" t="s">
        <v>46</v>
      </c>
      <c r="E32" t="s">
        <v>135</v>
      </c>
      <c r="F32" t="s">
        <v>99</v>
      </c>
      <c r="G32" t="s">
        <v>136</v>
      </c>
      <c r="H32" t="s">
        <v>101</v>
      </c>
      <c r="I32" t="s">
        <v>102</v>
      </c>
      <c r="J32" t="s">
        <v>36</v>
      </c>
      <c r="K32" s="9">
        <v>395.21739100000002</v>
      </c>
      <c r="L32" s="9">
        <v>999.9</v>
      </c>
      <c r="M32" s="9">
        <v>999.9</v>
      </c>
      <c r="N32">
        <v>112</v>
      </c>
      <c r="O32">
        <v>9</v>
      </c>
      <c r="P32" s="9">
        <v>44264.347792</v>
      </c>
      <c r="Q32" s="9">
        <v>111988.8</v>
      </c>
      <c r="R32" s="9">
        <v>100446.72</v>
      </c>
      <c r="S32" s="10">
        <v>0.10306459217350306</v>
      </c>
      <c r="T32" s="9">
        <v>67724.452208000002</v>
      </c>
      <c r="U32" s="11">
        <v>2.269246583548532</v>
      </c>
      <c r="V32" s="11">
        <v>1.5267857142857144</v>
      </c>
      <c r="W32" s="10">
        <v>0.92561983471074383</v>
      </c>
      <c r="X32" t="s">
        <v>170</v>
      </c>
      <c r="Y32" s="12">
        <v>45931</v>
      </c>
      <c r="Z32" s="13">
        <v>35</v>
      </c>
      <c r="AA32">
        <f t="shared" si="0"/>
        <v>29.070000037017603</v>
      </c>
    </row>
    <row r="33" spans="1:27" x14ac:dyDescent="0.3">
      <c r="A33" t="s">
        <v>171</v>
      </c>
      <c r="B33" t="s">
        <v>172</v>
      </c>
      <c r="C33" t="s">
        <v>29</v>
      </c>
      <c r="D33" t="s">
        <v>173</v>
      </c>
      <c r="E33" t="s">
        <v>135</v>
      </c>
      <c r="F33" t="s">
        <v>99</v>
      </c>
      <c r="G33" t="s">
        <v>136</v>
      </c>
      <c r="H33" t="s">
        <v>88</v>
      </c>
      <c r="I33" t="s">
        <v>89</v>
      </c>
      <c r="J33" t="s">
        <v>36</v>
      </c>
      <c r="K33" s="9">
        <v>355.69170000000003</v>
      </c>
      <c r="L33" s="9">
        <v>899.9</v>
      </c>
      <c r="M33" s="9">
        <v>899.9</v>
      </c>
      <c r="N33">
        <v>109</v>
      </c>
      <c r="O33">
        <v>110</v>
      </c>
      <c r="P33" s="9">
        <v>38770.395300000004</v>
      </c>
      <c r="Q33" s="9">
        <v>98089.099999999991</v>
      </c>
      <c r="R33" s="9">
        <v>89120.51</v>
      </c>
      <c r="S33" s="10">
        <v>9.1433095012595667E-2</v>
      </c>
      <c r="T33" s="9">
        <v>59318.704699999987</v>
      </c>
      <c r="U33" s="11">
        <v>2.2986742670637663</v>
      </c>
      <c r="V33" s="11">
        <v>19.174311926605505</v>
      </c>
      <c r="W33" s="10">
        <v>0.49771689497716892</v>
      </c>
      <c r="X33" t="s">
        <v>174</v>
      </c>
      <c r="Y33" s="12">
        <v>45946</v>
      </c>
      <c r="Z33" s="13">
        <v>117</v>
      </c>
      <c r="AA33">
        <f t="shared" si="0"/>
        <v>29.069999946582946</v>
      </c>
    </row>
    <row r="34" spans="1:27" x14ac:dyDescent="0.3">
      <c r="A34" t="s">
        <v>175</v>
      </c>
      <c r="B34" t="s">
        <v>176</v>
      </c>
      <c r="C34" t="s">
        <v>29</v>
      </c>
      <c r="D34" t="s">
        <v>30</v>
      </c>
      <c r="E34" t="s">
        <v>159</v>
      </c>
      <c r="F34" t="s">
        <v>48</v>
      </c>
      <c r="G34" t="s">
        <v>49</v>
      </c>
      <c r="H34" t="s">
        <v>145</v>
      </c>
      <c r="I34" t="s">
        <v>50</v>
      </c>
      <c r="J34" t="s">
        <v>36</v>
      </c>
      <c r="K34" s="9">
        <v>1530.62201</v>
      </c>
      <c r="L34" s="9">
        <v>3199</v>
      </c>
      <c r="M34" s="9">
        <v>3199</v>
      </c>
      <c r="N34">
        <v>106</v>
      </c>
      <c r="O34">
        <v>90</v>
      </c>
      <c r="P34" s="9">
        <v>162245.93306000001</v>
      </c>
      <c r="Q34" s="9">
        <v>339094</v>
      </c>
      <c r="R34" s="9">
        <v>289470.93</v>
      </c>
      <c r="S34" s="10">
        <v>0.14634015936583955</v>
      </c>
      <c r="T34" s="9">
        <v>176848.06693999999</v>
      </c>
      <c r="U34" s="11">
        <v>1.7841490664234463</v>
      </c>
      <c r="V34" s="11">
        <v>16.132075471698116</v>
      </c>
      <c r="W34" s="10">
        <v>0.54081632653061229</v>
      </c>
      <c r="X34" t="s">
        <v>177</v>
      </c>
      <c r="Y34" s="12">
        <v>45945</v>
      </c>
      <c r="Z34" s="13">
        <v>97</v>
      </c>
      <c r="AA34">
        <f t="shared" si="0"/>
        <v>20.709999988828066</v>
      </c>
    </row>
    <row r="35" spans="1:27" x14ac:dyDescent="0.3">
      <c r="A35" t="s">
        <v>178</v>
      </c>
      <c r="B35" t="s">
        <v>179</v>
      </c>
      <c r="C35" t="s">
        <v>97</v>
      </c>
      <c r="D35" t="s">
        <v>180</v>
      </c>
      <c r="E35" t="s">
        <v>125</v>
      </c>
      <c r="F35" t="s">
        <v>48</v>
      </c>
      <c r="G35" t="s">
        <v>61</v>
      </c>
      <c r="H35" t="s">
        <v>160</v>
      </c>
      <c r="I35" t="s">
        <v>161</v>
      </c>
      <c r="J35" t="s">
        <v>36</v>
      </c>
      <c r="K35" s="9">
        <v>2138.5026739999998</v>
      </c>
      <c r="L35" s="9">
        <v>3999</v>
      </c>
      <c r="M35" s="9">
        <v>3999</v>
      </c>
      <c r="N35">
        <v>104</v>
      </c>
      <c r="O35">
        <v>92</v>
      </c>
      <c r="P35" s="9">
        <v>222404.27809599999</v>
      </c>
      <c r="Q35" s="9">
        <v>415896</v>
      </c>
      <c r="R35" s="9">
        <v>406816.9</v>
      </c>
      <c r="S35" s="10">
        <v>2.1830217169676924E-2</v>
      </c>
      <c r="T35" s="9">
        <v>193491.72190400001</v>
      </c>
      <c r="U35" s="11">
        <v>1.8291774937188887</v>
      </c>
      <c r="V35" s="11">
        <v>16.807692307692307</v>
      </c>
      <c r="W35" s="10">
        <v>0.53061224489795922</v>
      </c>
      <c r="X35" t="s">
        <v>181</v>
      </c>
      <c r="Y35" s="12">
        <v>45943</v>
      </c>
      <c r="Z35" s="13">
        <v>90</v>
      </c>
      <c r="AA35">
        <f t="shared" si="0"/>
        <v>16.529999996623808</v>
      </c>
    </row>
    <row r="36" spans="1:27" x14ac:dyDescent="0.3">
      <c r="A36" t="s">
        <v>182</v>
      </c>
      <c r="B36" t="s">
        <v>183</v>
      </c>
      <c r="C36" t="s">
        <v>29</v>
      </c>
      <c r="D36" t="s">
        <v>124</v>
      </c>
      <c r="E36" t="s">
        <v>125</v>
      </c>
      <c r="F36" t="s">
        <v>48</v>
      </c>
      <c r="G36" t="s">
        <v>61</v>
      </c>
      <c r="H36" t="s">
        <v>160</v>
      </c>
      <c r="I36" t="s">
        <v>161</v>
      </c>
      <c r="J36" t="s">
        <v>36</v>
      </c>
      <c r="K36" s="9">
        <v>1603.743316</v>
      </c>
      <c r="L36" s="9">
        <v>2999</v>
      </c>
      <c r="M36" s="9">
        <v>2999</v>
      </c>
      <c r="N36">
        <v>104</v>
      </c>
      <c r="O36">
        <v>112</v>
      </c>
      <c r="P36" s="9">
        <v>166789.30486400001</v>
      </c>
      <c r="Q36" s="9">
        <v>311896</v>
      </c>
      <c r="R36" s="9">
        <v>310996.3</v>
      </c>
      <c r="S36" s="10">
        <v>2.8846153846153744E-3</v>
      </c>
      <c r="T36" s="9">
        <v>145106.69513599999</v>
      </c>
      <c r="U36" s="11">
        <v>1.864605768658766</v>
      </c>
      <c r="V36" s="11">
        <v>20.46153846153846</v>
      </c>
      <c r="W36" s="10">
        <v>0.48148148148148145</v>
      </c>
      <c r="X36" t="s">
        <v>184</v>
      </c>
      <c r="Y36" s="12">
        <v>45945</v>
      </c>
      <c r="Z36" s="13">
        <v>56</v>
      </c>
      <c r="AA36">
        <f t="shared" si="0"/>
        <v>16.529999989100499</v>
      </c>
    </row>
    <row r="37" spans="1:27" x14ac:dyDescent="0.3">
      <c r="A37" t="s">
        <v>185</v>
      </c>
      <c r="B37" t="s">
        <v>186</v>
      </c>
      <c r="C37" t="s">
        <v>45</v>
      </c>
      <c r="D37" t="s">
        <v>187</v>
      </c>
      <c r="E37" t="s">
        <v>55</v>
      </c>
      <c r="F37" t="s">
        <v>48</v>
      </c>
      <c r="G37" t="s">
        <v>49</v>
      </c>
      <c r="H37" t="s">
        <v>145</v>
      </c>
      <c r="I37" t="s">
        <v>50</v>
      </c>
      <c r="J37" t="s">
        <v>36</v>
      </c>
      <c r="K37" s="9">
        <v>1968.1528659999999</v>
      </c>
      <c r="L37" s="9">
        <v>3399</v>
      </c>
      <c r="M37" s="9">
        <v>3399</v>
      </c>
      <c r="N37">
        <v>103</v>
      </c>
      <c r="O37">
        <v>70</v>
      </c>
      <c r="P37" s="9">
        <v>202719.74519799999</v>
      </c>
      <c r="Q37" s="9">
        <v>350097</v>
      </c>
      <c r="R37" s="9">
        <v>229804.41</v>
      </c>
      <c r="S37" s="10">
        <v>0.34359788858516349</v>
      </c>
      <c r="T37" s="9">
        <v>147377.25480200001</v>
      </c>
      <c r="U37" s="11">
        <v>1.1336064465528306</v>
      </c>
      <c r="V37" s="11">
        <v>12.912621359223301</v>
      </c>
      <c r="W37" s="10">
        <v>0.59537572254335258</v>
      </c>
      <c r="X37" t="s">
        <v>188</v>
      </c>
      <c r="Y37" s="12">
        <v>45940</v>
      </c>
      <c r="Z37" s="13">
        <v>36</v>
      </c>
      <c r="AA37">
        <f t="shared" si="0"/>
        <v>13.813000004035258</v>
      </c>
    </row>
    <row r="38" spans="1:27" x14ac:dyDescent="0.3">
      <c r="A38" t="s">
        <v>189</v>
      </c>
      <c r="B38" t="s">
        <v>190</v>
      </c>
      <c r="C38" t="s">
        <v>29</v>
      </c>
      <c r="D38" t="s">
        <v>191</v>
      </c>
      <c r="E38" t="s">
        <v>125</v>
      </c>
      <c r="F38" t="s">
        <v>48</v>
      </c>
      <c r="G38" t="s">
        <v>61</v>
      </c>
      <c r="H38" t="s">
        <v>88</v>
      </c>
      <c r="I38" t="s">
        <v>89</v>
      </c>
      <c r="J38" t="s">
        <v>36</v>
      </c>
      <c r="K38" s="9">
        <v>2138.5026739999998</v>
      </c>
      <c r="L38" s="9">
        <v>3999</v>
      </c>
      <c r="M38" s="9">
        <v>3999</v>
      </c>
      <c r="N38">
        <v>102</v>
      </c>
      <c r="O38">
        <v>195</v>
      </c>
      <c r="P38" s="9">
        <v>218127.27274799999</v>
      </c>
      <c r="Q38" s="9">
        <v>407898</v>
      </c>
      <c r="R38" s="9">
        <v>345872.06</v>
      </c>
      <c r="S38" s="10">
        <v>0.15206237833968295</v>
      </c>
      <c r="T38" s="9">
        <v>189770.72725200001</v>
      </c>
      <c r="U38" s="11">
        <v>1.5856433523541191</v>
      </c>
      <c r="V38" s="11">
        <v>36.32352941176471</v>
      </c>
      <c r="W38" s="10">
        <v>0.34343434343434343</v>
      </c>
      <c r="X38" t="s">
        <v>192</v>
      </c>
      <c r="Y38" s="12">
        <v>45945</v>
      </c>
      <c r="Z38" s="13">
        <v>158</v>
      </c>
      <c r="AA38">
        <f t="shared" si="0"/>
        <v>16.529999996623808</v>
      </c>
    </row>
    <row r="39" spans="1:27" x14ac:dyDescent="0.3">
      <c r="A39" t="s">
        <v>193</v>
      </c>
      <c r="B39" t="s">
        <v>194</v>
      </c>
      <c r="C39" t="s">
        <v>29</v>
      </c>
      <c r="D39" t="s">
        <v>40</v>
      </c>
      <c r="E39" t="s">
        <v>41</v>
      </c>
      <c r="F39" t="s">
        <v>99</v>
      </c>
      <c r="G39" t="s">
        <v>136</v>
      </c>
      <c r="H39" t="s">
        <v>101</v>
      </c>
      <c r="I39" t="s">
        <v>102</v>
      </c>
      <c r="J39" t="s">
        <v>36</v>
      </c>
      <c r="K39" s="9">
        <v>249.536542</v>
      </c>
      <c r="L39" s="9">
        <v>699.95</v>
      </c>
      <c r="M39" s="9">
        <v>699.95</v>
      </c>
      <c r="N39">
        <v>102</v>
      </c>
      <c r="O39">
        <v>135</v>
      </c>
      <c r="P39" s="9">
        <v>25452.727284000001</v>
      </c>
      <c r="Q39" s="9">
        <v>71394.900000000009</v>
      </c>
      <c r="R39" s="9">
        <v>63874.080000000002</v>
      </c>
      <c r="S39" s="10">
        <v>0.10534113781236487</v>
      </c>
      <c r="T39" s="9">
        <v>45942.172716000008</v>
      </c>
      <c r="U39" s="11">
        <v>2.5095181073248796</v>
      </c>
      <c r="V39" s="11">
        <v>25.147058823529409</v>
      </c>
      <c r="W39" s="10">
        <v>0.43037974683544306</v>
      </c>
      <c r="X39" t="s">
        <v>195</v>
      </c>
      <c r="Y39" s="12">
        <v>45946</v>
      </c>
      <c r="Z39" s="13">
        <v>120</v>
      </c>
      <c r="AA39">
        <f t="shared" si="0"/>
        <v>34.294999976396248</v>
      </c>
    </row>
    <row r="40" spans="1:27" x14ac:dyDescent="0.3">
      <c r="A40" t="s">
        <v>196</v>
      </c>
      <c r="B40" t="s">
        <v>197</v>
      </c>
      <c r="C40" t="s">
        <v>29</v>
      </c>
      <c r="D40" t="s">
        <v>30</v>
      </c>
      <c r="E40" t="s">
        <v>31</v>
      </c>
      <c r="F40" t="s">
        <v>99</v>
      </c>
      <c r="G40" t="s">
        <v>198</v>
      </c>
      <c r="H40" t="s">
        <v>88</v>
      </c>
      <c r="I40" t="s">
        <v>89</v>
      </c>
      <c r="J40" t="s">
        <v>36</v>
      </c>
      <c r="K40" s="9">
        <v>1463.7</v>
      </c>
      <c r="L40" s="9">
        <v>2399</v>
      </c>
      <c r="M40" s="9">
        <v>2399</v>
      </c>
      <c r="N40">
        <v>98</v>
      </c>
      <c r="O40">
        <v>50</v>
      </c>
      <c r="P40" s="9">
        <v>143442.6</v>
      </c>
      <c r="Q40" s="9">
        <v>235102</v>
      </c>
      <c r="R40" s="9">
        <v>231974.03</v>
      </c>
      <c r="S40" s="10">
        <v>1.3304735816794366E-2</v>
      </c>
      <c r="T40" s="9">
        <v>91659.4</v>
      </c>
      <c r="U40" s="11">
        <v>1.6171906393219309</v>
      </c>
      <c r="V40" s="11">
        <v>9.6938775510204085</v>
      </c>
      <c r="W40" s="10">
        <v>0.66216216216216217</v>
      </c>
      <c r="X40" t="s">
        <v>199</v>
      </c>
      <c r="Y40" s="12">
        <v>45930</v>
      </c>
      <c r="Z40" s="13">
        <v>39</v>
      </c>
      <c r="AA40">
        <f t="shared" si="0"/>
        <v>12.140944182551069</v>
      </c>
    </row>
    <row r="41" spans="1:27" x14ac:dyDescent="0.3">
      <c r="A41" t="s">
        <v>200</v>
      </c>
      <c r="B41" t="s">
        <v>201</v>
      </c>
      <c r="C41" t="s">
        <v>29</v>
      </c>
      <c r="D41" t="s">
        <v>30</v>
      </c>
      <c r="E41" t="s">
        <v>31</v>
      </c>
      <c r="F41" t="s">
        <v>32</v>
      </c>
      <c r="G41" t="s">
        <v>111</v>
      </c>
      <c r="H41" t="s">
        <v>34</v>
      </c>
      <c r="I41" t="s">
        <v>35</v>
      </c>
      <c r="J41" t="s">
        <v>36</v>
      </c>
      <c r="K41" s="9">
        <v>1768.76</v>
      </c>
      <c r="L41" s="9">
        <v>2899</v>
      </c>
      <c r="M41" s="9">
        <v>2899</v>
      </c>
      <c r="N41">
        <v>97</v>
      </c>
      <c r="O41">
        <v>13</v>
      </c>
      <c r="P41" s="9">
        <v>171569.72</v>
      </c>
      <c r="Q41" s="9">
        <v>281203</v>
      </c>
      <c r="R41" s="9">
        <v>279686.2</v>
      </c>
      <c r="S41" s="10">
        <v>5.393968058662213E-3</v>
      </c>
      <c r="T41" s="9">
        <v>109633.28</v>
      </c>
      <c r="U41" s="11">
        <v>1.6301606134229281</v>
      </c>
      <c r="V41" s="11">
        <v>2.5463917525773194</v>
      </c>
      <c r="W41" s="10">
        <v>0.88181818181818183</v>
      </c>
      <c r="X41" t="s">
        <v>202</v>
      </c>
      <c r="Y41" s="12">
        <v>45946</v>
      </c>
      <c r="Z41" s="13">
        <v>7</v>
      </c>
      <c r="AA41">
        <f t="shared" si="0"/>
        <v>12.141025351093422</v>
      </c>
    </row>
    <row r="42" spans="1:27" x14ac:dyDescent="0.3">
      <c r="A42" t="s">
        <v>203</v>
      </c>
      <c r="B42" t="s">
        <v>172</v>
      </c>
      <c r="C42" t="s">
        <v>45</v>
      </c>
      <c r="D42" t="s">
        <v>46</v>
      </c>
      <c r="E42" t="s">
        <v>135</v>
      </c>
      <c r="F42" t="s">
        <v>99</v>
      </c>
      <c r="G42" t="s">
        <v>136</v>
      </c>
      <c r="H42" t="s">
        <v>88</v>
      </c>
      <c r="I42" t="s">
        <v>89</v>
      </c>
      <c r="J42" t="s">
        <v>36</v>
      </c>
      <c r="K42" s="9">
        <v>355.69170000000003</v>
      </c>
      <c r="L42" s="9">
        <v>899.9</v>
      </c>
      <c r="M42" s="9">
        <v>899.9</v>
      </c>
      <c r="N42">
        <v>93</v>
      </c>
      <c r="O42">
        <v>44</v>
      </c>
      <c r="P42" s="9">
        <v>33079.328099999999</v>
      </c>
      <c r="Q42" s="9">
        <v>83690.7</v>
      </c>
      <c r="R42" s="9">
        <v>79443.8</v>
      </c>
      <c r="S42" s="10">
        <v>5.0745184351427275E-2</v>
      </c>
      <c r="T42" s="9">
        <v>50611.371899999998</v>
      </c>
      <c r="U42" s="11">
        <v>2.4016146809221319</v>
      </c>
      <c r="V42" s="11">
        <v>8.9892473118279579</v>
      </c>
      <c r="W42" s="10">
        <v>0.67883211678832112</v>
      </c>
      <c r="X42" t="s">
        <v>204</v>
      </c>
      <c r="Y42" s="12">
        <v>45945</v>
      </c>
      <c r="Z42" s="13">
        <v>43</v>
      </c>
      <c r="AA42">
        <f t="shared" si="0"/>
        <v>29.069999946582953</v>
      </c>
    </row>
    <row r="43" spans="1:27" x14ac:dyDescent="0.3">
      <c r="A43" t="s">
        <v>205</v>
      </c>
      <c r="B43" t="s">
        <v>164</v>
      </c>
      <c r="C43" t="s">
        <v>129</v>
      </c>
      <c r="D43" t="s">
        <v>130</v>
      </c>
      <c r="E43" t="s">
        <v>135</v>
      </c>
      <c r="F43" t="s">
        <v>99</v>
      </c>
      <c r="G43" t="s">
        <v>136</v>
      </c>
      <c r="H43" t="s">
        <v>101</v>
      </c>
      <c r="I43" t="s">
        <v>102</v>
      </c>
      <c r="J43" t="s">
        <v>36</v>
      </c>
      <c r="K43" s="9">
        <v>395.21739100000002</v>
      </c>
      <c r="L43" s="9">
        <v>999.9</v>
      </c>
      <c r="M43" s="9">
        <v>999.9</v>
      </c>
      <c r="N43">
        <v>93</v>
      </c>
      <c r="O43">
        <v>57</v>
      </c>
      <c r="P43" s="9">
        <v>36755.217363000003</v>
      </c>
      <c r="Q43" s="9">
        <v>92990.7</v>
      </c>
      <c r="R43" s="9">
        <v>85497.77</v>
      </c>
      <c r="S43" s="10">
        <v>8.0577197504696607E-2</v>
      </c>
      <c r="T43" s="9">
        <v>56235.482636999994</v>
      </c>
      <c r="U43" s="11">
        <v>2.326139692104424</v>
      </c>
      <c r="V43" s="11">
        <v>11.64516129032258</v>
      </c>
      <c r="W43" s="10">
        <v>0.62</v>
      </c>
      <c r="X43" t="s">
        <v>206</v>
      </c>
      <c r="Y43" s="12">
        <v>45944</v>
      </c>
      <c r="Z43" s="13">
        <v>55</v>
      </c>
      <c r="AA43">
        <f t="shared" si="0"/>
        <v>29.070000037017593</v>
      </c>
    </row>
    <row r="44" spans="1:27" x14ac:dyDescent="0.3">
      <c r="A44" t="s">
        <v>207</v>
      </c>
      <c r="B44" t="s">
        <v>208</v>
      </c>
      <c r="C44" t="s">
        <v>29</v>
      </c>
      <c r="D44" t="s">
        <v>209</v>
      </c>
      <c r="E44" t="s">
        <v>31</v>
      </c>
      <c r="F44" t="s">
        <v>32</v>
      </c>
      <c r="G44" t="s">
        <v>111</v>
      </c>
      <c r="H44" t="s">
        <v>88</v>
      </c>
      <c r="I44" t="s">
        <v>89</v>
      </c>
      <c r="J44" t="s">
        <v>36</v>
      </c>
      <c r="K44" s="9">
        <v>1158.6300000000001</v>
      </c>
      <c r="L44" s="9">
        <v>1899</v>
      </c>
      <c r="M44" s="9">
        <v>1899</v>
      </c>
      <c r="N44">
        <v>92</v>
      </c>
      <c r="O44">
        <v>93</v>
      </c>
      <c r="P44" s="9">
        <v>106593.96</v>
      </c>
      <c r="Q44" s="9">
        <v>174708</v>
      </c>
      <c r="R44" s="9">
        <v>174808</v>
      </c>
      <c r="S44" s="10">
        <v>-5.7238363440714757E-4</v>
      </c>
      <c r="T44" s="9">
        <v>68114.039999999994</v>
      </c>
      <c r="U44" s="11">
        <v>1.6399428260287918</v>
      </c>
      <c r="V44" s="11">
        <v>19.206521739130437</v>
      </c>
      <c r="W44" s="10">
        <v>0.49729729729729732</v>
      </c>
      <c r="X44" t="s">
        <v>210</v>
      </c>
      <c r="Y44" s="12">
        <v>45944</v>
      </c>
      <c r="Z44" s="13">
        <v>47</v>
      </c>
      <c r="AA44">
        <f t="shared" si="0"/>
        <v>12.141089044820173</v>
      </c>
    </row>
    <row r="45" spans="1:27" x14ac:dyDescent="0.3">
      <c r="A45" t="s">
        <v>211</v>
      </c>
      <c r="B45" t="s">
        <v>212</v>
      </c>
      <c r="C45" t="s">
        <v>45</v>
      </c>
      <c r="D45" t="s">
        <v>46</v>
      </c>
      <c r="E45" t="s">
        <v>60</v>
      </c>
      <c r="F45" t="s">
        <v>32</v>
      </c>
      <c r="G45" t="s">
        <v>72</v>
      </c>
      <c r="H45" t="s">
        <v>34</v>
      </c>
      <c r="I45" t="s">
        <v>35</v>
      </c>
      <c r="J45" t="s">
        <v>36</v>
      </c>
      <c r="K45" s="9">
        <v>300.95999999999998</v>
      </c>
      <c r="L45" s="9">
        <v>629</v>
      </c>
      <c r="M45" s="9">
        <v>629</v>
      </c>
      <c r="N45">
        <v>92</v>
      </c>
      <c r="O45">
        <v>148</v>
      </c>
      <c r="P45" s="9">
        <v>27688.32</v>
      </c>
      <c r="Q45" s="9">
        <v>57868</v>
      </c>
      <c r="R45" s="9">
        <v>57401.9</v>
      </c>
      <c r="S45" s="10">
        <v>8.0545379138728945E-3</v>
      </c>
      <c r="T45" s="9">
        <v>30179.68</v>
      </c>
      <c r="U45" s="11">
        <v>2.0731449217576219</v>
      </c>
      <c r="V45" s="11">
        <v>30.565217391304348</v>
      </c>
      <c r="W45" s="10">
        <v>0.38333333333333336</v>
      </c>
      <c r="X45" t="s">
        <v>213</v>
      </c>
      <c r="Y45" s="12">
        <v>45944</v>
      </c>
      <c r="Z45" s="13">
        <v>74</v>
      </c>
      <c r="AA45">
        <f t="shared" si="0"/>
        <v>20.709595959595962</v>
      </c>
    </row>
    <row r="46" spans="1:27" x14ac:dyDescent="0.3">
      <c r="A46" t="s">
        <v>214</v>
      </c>
      <c r="B46" t="s">
        <v>215</v>
      </c>
      <c r="C46" t="s">
        <v>45</v>
      </c>
      <c r="D46" t="s">
        <v>71</v>
      </c>
      <c r="E46" t="s">
        <v>31</v>
      </c>
      <c r="F46" t="s">
        <v>32</v>
      </c>
      <c r="G46" t="s">
        <v>72</v>
      </c>
      <c r="H46" t="s">
        <v>34</v>
      </c>
      <c r="I46" t="s">
        <v>35</v>
      </c>
      <c r="J46" t="s">
        <v>36</v>
      </c>
      <c r="K46" s="9">
        <v>304.45</v>
      </c>
      <c r="L46" s="9">
        <v>499</v>
      </c>
      <c r="M46" s="9">
        <v>499</v>
      </c>
      <c r="N46">
        <v>91</v>
      </c>
      <c r="O46">
        <v>18</v>
      </c>
      <c r="P46" s="9">
        <v>27704.95</v>
      </c>
      <c r="Q46" s="9">
        <v>45409</v>
      </c>
      <c r="R46" s="9">
        <v>47165.14</v>
      </c>
      <c r="S46" s="10">
        <v>-3.8673831178841267E-2</v>
      </c>
      <c r="T46" s="9">
        <v>17704.05</v>
      </c>
      <c r="U46" s="11">
        <v>1.7024084143808236</v>
      </c>
      <c r="V46" s="11">
        <v>3.7582417582417582</v>
      </c>
      <c r="W46" s="10">
        <v>0.83486238532110091</v>
      </c>
      <c r="X46" t="s">
        <v>216</v>
      </c>
      <c r="Y46" s="12">
        <v>45944</v>
      </c>
      <c r="Z46" s="13">
        <v>14</v>
      </c>
      <c r="AA46">
        <f t="shared" si="0"/>
        <v>12.141402529150927</v>
      </c>
    </row>
    <row r="47" spans="1:27" x14ac:dyDescent="0.3">
      <c r="A47" t="s">
        <v>217</v>
      </c>
      <c r="B47" t="s">
        <v>218</v>
      </c>
      <c r="C47" t="s">
        <v>29</v>
      </c>
      <c r="D47" t="s">
        <v>40</v>
      </c>
      <c r="E47" t="s">
        <v>41</v>
      </c>
      <c r="F47" t="s">
        <v>99</v>
      </c>
      <c r="G47" t="s">
        <v>198</v>
      </c>
      <c r="H47" t="s">
        <v>101</v>
      </c>
      <c r="I47" t="s">
        <v>102</v>
      </c>
      <c r="J47" t="s">
        <v>36</v>
      </c>
      <c r="K47" s="9">
        <v>463.44028500000002</v>
      </c>
      <c r="L47" s="9">
        <v>1299.95</v>
      </c>
      <c r="M47" s="9">
        <v>1299.95</v>
      </c>
      <c r="N47">
        <v>90</v>
      </c>
      <c r="O47">
        <v>123</v>
      </c>
      <c r="P47" s="9">
        <v>41709.625650000002</v>
      </c>
      <c r="Q47" s="9">
        <v>116995.5</v>
      </c>
      <c r="R47" s="9">
        <v>98581.18</v>
      </c>
      <c r="S47" s="10">
        <v>0.15739340401981283</v>
      </c>
      <c r="T47" s="9">
        <v>75285.874349999998</v>
      </c>
      <c r="U47" s="11">
        <v>2.3635115027698648</v>
      </c>
      <c r="V47" s="11">
        <v>25.966666666666669</v>
      </c>
      <c r="W47" s="10">
        <v>0.42253521126760563</v>
      </c>
      <c r="X47" t="s">
        <v>219</v>
      </c>
      <c r="Y47" s="12">
        <v>45946</v>
      </c>
      <c r="Z47" s="13">
        <v>62</v>
      </c>
      <c r="AA47">
        <f t="shared" si="0"/>
        <v>34.295000023573692</v>
      </c>
    </row>
    <row r="48" spans="1:27" x14ac:dyDescent="0.3">
      <c r="A48" t="s">
        <v>220</v>
      </c>
      <c r="B48" t="s">
        <v>110</v>
      </c>
      <c r="C48" t="s">
        <v>129</v>
      </c>
      <c r="D48" t="s">
        <v>221</v>
      </c>
      <c r="E48" t="s">
        <v>31</v>
      </c>
      <c r="F48" t="s">
        <v>32</v>
      </c>
      <c r="G48" t="s">
        <v>111</v>
      </c>
      <c r="H48" t="s">
        <v>34</v>
      </c>
      <c r="I48" t="s">
        <v>35</v>
      </c>
      <c r="J48" t="s">
        <v>36</v>
      </c>
      <c r="K48" s="9">
        <v>1067.1099999999999</v>
      </c>
      <c r="L48" s="9">
        <v>1749</v>
      </c>
      <c r="M48" s="9">
        <v>1749</v>
      </c>
      <c r="N48">
        <v>90</v>
      </c>
      <c r="O48">
        <v>60</v>
      </c>
      <c r="P48" s="9">
        <v>96039.9</v>
      </c>
      <c r="Q48" s="9">
        <v>157410</v>
      </c>
      <c r="R48" s="9">
        <v>156360.6</v>
      </c>
      <c r="S48" s="10">
        <v>6.6666666666665986E-3</v>
      </c>
      <c r="T48" s="9">
        <v>61370.100000000006</v>
      </c>
      <c r="U48" s="11">
        <v>1.6280795794248017</v>
      </c>
      <c r="V48" s="11">
        <v>12.666666666666666</v>
      </c>
      <c r="W48" s="10">
        <v>0.6</v>
      </c>
      <c r="X48" t="s">
        <v>222</v>
      </c>
      <c r="Y48" s="12">
        <v>45945</v>
      </c>
      <c r="Z48" s="13">
        <v>30</v>
      </c>
      <c r="AA48">
        <f t="shared" si="0"/>
        <v>12.141119472219362</v>
      </c>
    </row>
    <row r="49" spans="1:27" x14ac:dyDescent="0.3">
      <c r="A49" t="s">
        <v>223</v>
      </c>
      <c r="B49" t="s">
        <v>224</v>
      </c>
      <c r="C49" t="s">
        <v>29</v>
      </c>
      <c r="D49" t="s">
        <v>124</v>
      </c>
      <c r="E49" t="s">
        <v>225</v>
      </c>
      <c r="F49" t="s">
        <v>99</v>
      </c>
      <c r="G49" t="s">
        <v>198</v>
      </c>
      <c r="H49" t="s">
        <v>101</v>
      </c>
      <c r="I49" t="s">
        <v>102</v>
      </c>
      <c r="J49" t="s">
        <v>36</v>
      </c>
      <c r="K49" s="9">
        <v>454.54</v>
      </c>
      <c r="L49" s="9">
        <v>899.99</v>
      </c>
      <c r="M49" s="9">
        <v>899.99</v>
      </c>
      <c r="N49">
        <v>86</v>
      </c>
      <c r="O49">
        <v>74</v>
      </c>
      <c r="P49" s="9">
        <v>39090.44</v>
      </c>
      <c r="Q49" s="9">
        <v>77399.14</v>
      </c>
      <c r="R49" s="9">
        <v>74592.479999999996</v>
      </c>
      <c r="S49" s="10">
        <v>3.6262160018832312E-2</v>
      </c>
      <c r="T49" s="9">
        <v>38308.699999999997</v>
      </c>
      <c r="U49" s="11">
        <v>1.9082026193616646</v>
      </c>
      <c r="V49" s="11">
        <v>16.348837209302324</v>
      </c>
      <c r="W49" s="10">
        <v>0.53749999999999998</v>
      </c>
      <c r="X49" t="s">
        <v>226</v>
      </c>
      <c r="Y49" s="12">
        <v>45946</v>
      </c>
      <c r="Z49" s="13">
        <v>37</v>
      </c>
      <c r="AA49">
        <f t="shared" si="0"/>
        <v>18.620033440401283</v>
      </c>
    </row>
    <row r="50" spans="1:27" x14ac:dyDescent="0.3">
      <c r="A50" t="s">
        <v>227</v>
      </c>
      <c r="B50" t="s">
        <v>228</v>
      </c>
      <c r="C50" t="s">
        <v>29</v>
      </c>
      <c r="D50" t="s">
        <v>40</v>
      </c>
      <c r="E50" t="s">
        <v>41</v>
      </c>
      <c r="F50" t="s">
        <v>99</v>
      </c>
      <c r="G50" t="s">
        <v>198</v>
      </c>
      <c r="H50" t="s">
        <v>101</v>
      </c>
      <c r="I50" t="s">
        <v>102</v>
      </c>
      <c r="J50" t="s">
        <v>36</v>
      </c>
      <c r="K50" s="9">
        <v>606.04278099999999</v>
      </c>
      <c r="L50" s="9">
        <v>1699.95</v>
      </c>
      <c r="M50" s="9">
        <v>1699.95</v>
      </c>
      <c r="N50">
        <v>86</v>
      </c>
      <c r="O50">
        <v>143</v>
      </c>
      <c r="P50" s="9">
        <v>52119.679166000002</v>
      </c>
      <c r="Q50" s="9">
        <v>146195.70000000001</v>
      </c>
      <c r="R50" s="9">
        <v>128277.37</v>
      </c>
      <c r="S50" s="10">
        <v>0.12256400154040104</v>
      </c>
      <c r="T50" s="9">
        <v>94076.02083400001</v>
      </c>
      <c r="U50" s="11">
        <v>2.4612079746584676</v>
      </c>
      <c r="V50" s="11">
        <v>31.593023255813954</v>
      </c>
      <c r="W50" s="10">
        <v>0.37554585152838427</v>
      </c>
      <c r="X50" t="s">
        <v>229</v>
      </c>
      <c r="Y50" s="12">
        <v>45946</v>
      </c>
      <c r="Z50" s="13">
        <v>75</v>
      </c>
      <c r="AA50">
        <f t="shared" si="0"/>
        <v>34.294999977897604</v>
      </c>
    </row>
    <row r="51" spans="1:27" x14ac:dyDescent="0.3">
      <c r="A51" t="s">
        <v>230</v>
      </c>
      <c r="B51" t="s">
        <v>231</v>
      </c>
      <c r="C51" t="s">
        <v>97</v>
      </c>
      <c r="D51" t="s">
        <v>98</v>
      </c>
      <c r="E51" t="s">
        <v>55</v>
      </c>
      <c r="F51" t="s">
        <v>99</v>
      </c>
      <c r="G51" t="s">
        <v>100</v>
      </c>
      <c r="H51" t="s">
        <v>145</v>
      </c>
      <c r="I51" t="s">
        <v>50</v>
      </c>
      <c r="J51" t="s">
        <v>36</v>
      </c>
      <c r="K51" s="9">
        <v>2316.1493919999998</v>
      </c>
      <c r="L51" s="9">
        <v>3999.99</v>
      </c>
      <c r="M51" s="9">
        <v>3999.99</v>
      </c>
      <c r="N51">
        <v>85</v>
      </c>
      <c r="O51">
        <v>95</v>
      </c>
      <c r="P51" s="9">
        <v>196872.69832</v>
      </c>
      <c r="Q51" s="9">
        <v>339999.14999999997</v>
      </c>
      <c r="R51" s="9">
        <v>338046.48</v>
      </c>
      <c r="S51" s="10">
        <v>5.7431614167270384E-3</v>
      </c>
      <c r="T51" s="9">
        <v>143126.45167999997</v>
      </c>
      <c r="U51" s="11">
        <v>1.7170815602401805</v>
      </c>
      <c r="V51" s="11">
        <v>21.235294117647058</v>
      </c>
      <c r="W51" s="10">
        <v>0.47222222222222221</v>
      </c>
      <c r="X51" t="s">
        <v>232</v>
      </c>
      <c r="Y51" s="12">
        <v>45946</v>
      </c>
      <c r="Z51" s="13">
        <v>48</v>
      </c>
      <c r="AA51">
        <f t="shared" si="0"/>
        <v>13.81300000013125</v>
      </c>
    </row>
    <row r="52" spans="1:27" x14ac:dyDescent="0.3">
      <c r="A52" t="s">
        <v>233</v>
      </c>
      <c r="B52" t="s">
        <v>234</v>
      </c>
      <c r="C52" t="s">
        <v>45</v>
      </c>
      <c r="D52" t="s">
        <v>235</v>
      </c>
      <c r="E52" t="s">
        <v>135</v>
      </c>
      <c r="F52" t="s">
        <v>99</v>
      </c>
      <c r="G52" t="s">
        <v>136</v>
      </c>
      <c r="H52" t="s">
        <v>88</v>
      </c>
      <c r="I52" t="s">
        <v>89</v>
      </c>
      <c r="J52" t="s">
        <v>36</v>
      </c>
      <c r="K52" s="9">
        <v>395.21739100000002</v>
      </c>
      <c r="L52" s="9">
        <v>999.9</v>
      </c>
      <c r="M52" s="9">
        <v>999.9</v>
      </c>
      <c r="N52">
        <v>80</v>
      </c>
      <c r="O52">
        <v>119</v>
      </c>
      <c r="P52" s="9">
        <v>31617.391280000003</v>
      </c>
      <c r="Q52" s="9">
        <v>79992</v>
      </c>
      <c r="R52" s="9">
        <v>69210.990000000005</v>
      </c>
      <c r="S52" s="10">
        <v>0.13477610261026096</v>
      </c>
      <c r="T52" s="9">
        <v>48374.608719999997</v>
      </c>
      <c r="U52" s="11">
        <v>2.1890164620817507</v>
      </c>
      <c r="V52" s="11">
        <v>28.262499999999999</v>
      </c>
      <c r="W52" s="10">
        <v>0.4020100502512563</v>
      </c>
      <c r="X52" t="s">
        <v>236</v>
      </c>
      <c r="Y52" s="12">
        <v>45945</v>
      </c>
      <c r="Z52" s="13">
        <v>111</v>
      </c>
      <c r="AA52">
        <f t="shared" si="0"/>
        <v>29.0700000370176</v>
      </c>
    </row>
    <row r="53" spans="1:27" x14ac:dyDescent="0.3">
      <c r="A53" t="s">
        <v>237</v>
      </c>
      <c r="B53" t="s">
        <v>238</v>
      </c>
      <c r="C53" t="s">
        <v>29</v>
      </c>
      <c r="D53" t="s">
        <v>124</v>
      </c>
      <c r="E53" t="s">
        <v>225</v>
      </c>
      <c r="F53" t="s">
        <v>99</v>
      </c>
      <c r="G53" t="s">
        <v>239</v>
      </c>
      <c r="H53" t="s">
        <v>101</v>
      </c>
      <c r="I53" t="s">
        <v>102</v>
      </c>
      <c r="J53" t="s">
        <v>36</v>
      </c>
      <c r="K53" s="9">
        <v>1262.6199999999999</v>
      </c>
      <c r="L53" s="9">
        <v>2499.9899999999998</v>
      </c>
      <c r="M53" s="9">
        <v>2499.9899999999998</v>
      </c>
      <c r="N53">
        <v>78</v>
      </c>
      <c r="O53">
        <v>66</v>
      </c>
      <c r="P53" s="9">
        <v>98484.359999999986</v>
      </c>
      <c r="Q53" s="9">
        <v>194999.21999999997</v>
      </c>
      <c r="R53" s="9">
        <v>187491.31</v>
      </c>
      <c r="S53" s="10">
        <v>3.8502256573128779E-2</v>
      </c>
      <c r="T53" s="9">
        <v>96514.859999999986</v>
      </c>
      <c r="U53" s="11">
        <v>1.9037673596091809</v>
      </c>
      <c r="V53" s="11">
        <v>16.076923076923077</v>
      </c>
      <c r="W53" s="10">
        <v>0.54166666666666663</v>
      </c>
      <c r="X53" t="s">
        <v>240</v>
      </c>
      <c r="Y53" s="12">
        <v>45945</v>
      </c>
      <c r="Z53" s="13">
        <v>33</v>
      </c>
      <c r="AA53">
        <f t="shared" si="0"/>
        <v>18.620036115379133</v>
      </c>
    </row>
    <row r="54" spans="1:27" x14ac:dyDescent="0.3">
      <c r="A54" t="s">
        <v>241</v>
      </c>
      <c r="B54" t="s">
        <v>242</v>
      </c>
      <c r="C54" t="s">
        <v>29</v>
      </c>
      <c r="D54" t="s">
        <v>124</v>
      </c>
      <c r="E54" t="s">
        <v>225</v>
      </c>
      <c r="F54" t="s">
        <v>99</v>
      </c>
      <c r="G54" t="s">
        <v>198</v>
      </c>
      <c r="H54" t="s">
        <v>101</v>
      </c>
      <c r="I54" t="s">
        <v>102</v>
      </c>
      <c r="J54" t="s">
        <v>36</v>
      </c>
      <c r="K54" s="9">
        <v>454.54</v>
      </c>
      <c r="L54" s="9">
        <v>899.99</v>
      </c>
      <c r="M54" s="9">
        <v>899.99</v>
      </c>
      <c r="N54">
        <v>76</v>
      </c>
      <c r="O54">
        <v>84</v>
      </c>
      <c r="P54" s="9">
        <v>34545.040000000001</v>
      </c>
      <c r="Q54" s="9">
        <v>68399.240000000005</v>
      </c>
      <c r="R54" s="9">
        <v>65505.37</v>
      </c>
      <c r="S54" s="10">
        <v>4.2308511030239582E-2</v>
      </c>
      <c r="T54" s="9">
        <v>33854.200000000004</v>
      </c>
      <c r="U54" s="11">
        <v>1.896230833717373</v>
      </c>
      <c r="V54" s="11">
        <v>21.000000000000004</v>
      </c>
      <c r="W54" s="10">
        <v>0.47499999999999998</v>
      </c>
      <c r="X54" t="s">
        <v>243</v>
      </c>
      <c r="Y54" s="12">
        <v>45944</v>
      </c>
      <c r="Z54" s="13">
        <v>42</v>
      </c>
      <c r="AA54">
        <f t="shared" si="0"/>
        <v>18.620033440401286</v>
      </c>
    </row>
    <row r="55" spans="1:27" x14ac:dyDescent="0.3">
      <c r="A55" t="s">
        <v>244</v>
      </c>
      <c r="B55" t="s">
        <v>245</v>
      </c>
      <c r="C55" t="s">
        <v>45</v>
      </c>
      <c r="D55" t="s">
        <v>246</v>
      </c>
      <c r="E55" t="s">
        <v>135</v>
      </c>
      <c r="F55" t="s">
        <v>99</v>
      </c>
      <c r="G55" t="s">
        <v>136</v>
      </c>
      <c r="H55" t="s">
        <v>88</v>
      </c>
      <c r="I55" t="s">
        <v>89</v>
      </c>
      <c r="J55" t="s">
        <v>36</v>
      </c>
      <c r="K55" s="9">
        <v>355.69170000000003</v>
      </c>
      <c r="L55" s="9">
        <v>899.9</v>
      </c>
      <c r="M55" s="9">
        <v>899.9</v>
      </c>
      <c r="N55">
        <v>74</v>
      </c>
      <c r="O55">
        <v>70</v>
      </c>
      <c r="P55" s="9">
        <v>26321.185800000003</v>
      </c>
      <c r="Q55" s="9">
        <v>66592.599999999991</v>
      </c>
      <c r="R55" s="9">
        <v>60304.59</v>
      </c>
      <c r="S55" s="10">
        <v>9.4425056237479765E-2</v>
      </c>
      <c r="T55" s="9">
        <v>40271.414199999985</v>
      </c>
      <c r="U55" s="11">
        <v>2.2911046051732211</v>
      </c>
      <c r="V55" s="11">
        <v>17.972972972972972</v>
      </c>
      <c r="W55" s="10">
        <v>0.51388888888888884</v>
      </c>
      <c r="X55" t="s">
        <v>247</v>
      </c>
      <c r="Y55" s="12">
        <v>45945</v>
      </c>
      <c r="Z55" s="13">
        <v>60</v>
      </c>
      <c r="AA55">
        <f t="shared" si="0"/>
        <v>29.069999946582939</v>
      </c>
    </row>
    <row r="56" spans="1:27" x14ac:dyDescent="0.3">
      <c r="A56" t="s">
        <v>248</v>
      </c>
      <c r="B56" t="s">
        <v>249</v>
      </c>
      <c r="C56" t="s">
        <v>29</v>
      </c>
      <c r="D56" t="s">
        <v>40</v>
      </c>
      <c r="E56" t="s">
        <v>41</v>
      </c>
      <c r="F56" t="s">
        <v>99</v>
      </c>
      <c r="G56" t="s">
        <v>239</v>
      </c>
      <c r="H56" t="s">
        <v>145</v>
      </c>
      <c r="I56" t="s">
        <v>50</v>
      </c>
      <c r="J56" t="s">
        <v>36</v>
      </c>
      <c r="K56" s="9">
        <v>641.69340499999998</v>
      </c>
      <c r="L56" s="9">
        <v>1799.95</v>
      </c>
      <c r="M56" s="9">
        <v>1799.95</v>
      </c>
      <c r="N56">
        <v>73</v>
      </c>
      <c r="O56">
        <v>84</v>
      </c>
      <c r="P56" s="9">
        <v>46843.618564999997</v>
      </c>
      <c r="Q56" s="9">
        <v>131396.35</v>
      </c>
      <c r="R56" s="9">
        <v>115017.17</v>
      </c>
      <c r="S56" s="10">
        <v>0.12465475639163492</v>
      </c>
      <c r="T56" s="9">
        <v>84552.731435000009</v>
      </c>
      <c r="U56" s="11">
        <v>2.4553434069232436</v>
      </c>
      <c r="V56" s="11">
        <v>21.863013698630137</v>
      </c>
      <c r="W56" s="10">
        <v>0.46496815286624205</v>
      </c>
      <c r="X56" t="s">
        <v>250</v>
      </c>
      <c r="Y56" s="12">
        <v>45946</v>
      </c>
      <c r="Z56" s="13">
        <v>60</v>
      </c>
      <c r="AA56">
        <f t="shared" si="0"/>
        <v>34.294999969650625</v>
      </c>
    </row>
    <row r="57" spans="1:27" x14ac:dyDescent="0.3">
      <c r="A57" t="s">
        <v>251</v>
      </c>
      <c r="B57" t="s">
        <v>252</v>
      </c>
      <c r="C57" t="s">
        <v>29</v>
      </c>
      <c r="D57" t="s">
        <v>253</v>
      </c>
      <c r="E57" t="s">
        <v>31</v>
      </c>
      <c r="F57" t="s">
        <v>99</v>
      </c>
      <c r="G57" t="s">
        <v>198</v>
      </c>
      <c r="H57" t="s">
        <v>88</v>
      </c>
      <c r="I57" t="s">
        <v>89</v>
      </c>
      <c r="J57" t="s">
        <v>36</v>
      </c>
      <c r="K57" s="9">
        <v>1951.8</v>
      </c>
      <c r="L57" s="9">
        <v>3199</v>
      </c>
      <c r="M57" s="9">
        <v>3199</v>
      </c>
      <c r="N57">
        <v>72</v>
      </c>
      <c r="O57">
        <v>40</v>
      </c>
      <c r="P57" s="9">
        <v>140529.60000000001</v>
      </c>
      <c r="Q57" s="9">
        <v>230328</v>
      </c>
      <c r="R57" s="9">
        <v>208941.86</v>
      </c>
      <c r="S57" s="10">
        <v>9.2850804070716553E-2</v>
      </c>
      <c r="T57" s="9">
        <v>89798.399999999994</v>
      </c>
      <c r="U57" s="11">
        <v>1.4868174391729569</v>
      </c>
      <c r="V57" s="11">
        <v>10.555555555555555</v>
      </c>
      <c r="W57" s="10">
        <v>0.6428571428571429</v>
      </c>
      <c r="X57" t="s">
        <v>254</v>
      </c>
      <c r="Y57" s="12">
        <v>45946</v>
      </c>
      <c r="Z57" s="13">
        <v>20</v>
      </c>
      <c r="AA57">
        <f t="shared" si="0"/>
        <v>12.140998053079207</v>
      </c>
    </row>
    <row r="58" spans="1:27" x14ac:dyDescent="0.3">
      <c r="A58" t="s">
        <v>255</v>
      </c>
      <c r="B58" t="s">
        <v>256</v>
      </c>
      <c r="C58" t="s">
        <v>257</v>
      </c>
      <c r="D58" t="s">
        <v>258</v>
      </c>
      <c r="E58" t="s">
        <v>259</v>
      </c>
      <c r="F58" t="s">
        <v>32</v>
      </c>
      <c r="G58" t="s">
        <v>33</v>
      </c>
      <c r="H58" t="s">
        <v>34</v>
      </c>
      <c r="I58" t="s">
        <v>35</v>
      </c>
      <c r="J58" t="s">
        <v>36</v>
      </c>
      <c r="K58" s="9">
        <v>305.74162699999999</v>
      </c>
      <c r="L58" s="9">
        <v>639</v>
      </c>
      <c r="M58" s="9">
        <v>639</v>
      </c>
      <c r="N58">
        <v>0</v>
      </c>
      <c r="O58">
        <v>15</v>
      </c>
      <c r="P58" s="9">
        <v>0</v>
      </c>
      <c r="Q58" s="9">
        <v>0</v>
      </c>
      <c r="R58" s="9">
        <v>0</v>
      </c>
      <c r="S58" s="10">
        <v>0</v>
      </c>
      <c r="T58" s="9">
        <v>0</v>
      </c>
      <c r="U58" s="11">
        <v>0</v>
      </c>
      <c r="V58" s="11">
        <v>1000</v>
      </c>
      <c r="W58" s="10">
        <v>0</v>
      </c>
      <c r="X58" t="s">
        <v>260</v>
      </c>
      <c r="Y58" s="12">
        <v>45888</v>
      </c>
      <c r="Z58" s="13">
        <v>10</v>
      </c>
      <c r="AA58" t="e">
        <f t="shared" si="0"/>
        <v>#DIV/0!</v>
      </c>
    </row>
    <row r="59" spans="1:27" x14ac:dyDescent="0.3">
      <c r="A59" t="s">
        <v>261</v>
      </c>
      <c r="B59" t="s">
        <v>262</v>
      </c>
      <c r="C59" t="s">
        <v>29</v>
      </c>
      <c r="D59" t="s">
        <v>263</v>
      </c>
      <c r="E59" t="s">
        <v>259</v>
      </c>
      <c r="F59" t="s">
        <v>32</v>
      </c>
      <c r="G59" t="s">
        <v>264</v>
      </c>
      <c r="H59" t="s">
        <v>34</v>
      </c>
      <c r="I59" t="s">
        <v>35</v>
      </c>
      <c r="J59" t="s">
        <v>36</v>
      </c>
      <c r="K59" s="9">
        <v>908.61243999999999</v>
      </c>
      <c r="L59" s="9">
        <v>1899</v>
      </c>
      <c r="M59" s="9">
        <v>1899</v>
      </c>
      <c r="N59">
        <v>0</v>
      </c>
      <c r="O59">
        <v>10</v>
      </c>
      <c r="P59" s="9">
        <v>0</v>
      </c>
      <c r="Q59" s="9">
        <v>0</v>
      </c>
      <c r="R59" s="9">
        <v>0</v>
      </c>
      <c r="S59" s="10">
        <v>0</v>
      </c>
      <c r="T59" s="9">
        <v>0</v>
      </c>
      <c r="U59" s="11">
        <v>0</v>
      </c>
      <c r="V59" s="11">
        <v>1000</v>
      </c>
      <c r="W59" s="10">
        <v>0</v>
      </c>
      <c r="X59" t="s">
        <v>265</v>
      </c>
      <c r="Y59" s="12">
        <v>45882</v>
      </c>
      <c r="Z59" s="13">
        <v>5</v>
      </c>
      <c r="AA59" t="e">
        <f t="shared" si="0"/>
        <v>#DIV/0!</v>
      </c>
    </row>
    <row r="60" spans="1:27" x14ac:dyDescent="0.3">
      <c r="A60" t="s">
        <v>266</v>
      </c>
      <c r="B60" t="s">
        <v>267</v>
      </c>
      <c r="C60" t="s">
        <v>64</v>
      </c>
      <c r="D60" t="s">
        <v>268</v>
      </c>
      <c r="E60" t="s">
        <v>259</v>
      </c>
      <c r="F60" t="s">
        <v>32</v>
      </c>
      <c r="G60" t="s">
        <v>111</v>
      </c>
      <c r="H60" t="s">
        <v>34</v>
      </c>
      <c r="I60" t="s">
        <v>35</v>
      </c>
      <c r="J60" t="s">
        <v>36</v>
      </c>
      <c r="K60" s="9">
        <v>1434.92823</v>
      </c>
      <c r="L60" s="9">
        <v>2999</v>
      </c>
      <c r="M60" s="9">
        <v>2999</v>
      </c>
      <c r="N60">
        <v>0</v>
      </c>
      <c r="O60">
        <v>5</v>
      </c>
      <c r="P60" s="9">
        <v>0</v>
      </c>
      <c r="Q60" s="9">
        <v>0</v>
      </c>
      <c r="R60" s="9">
        <v>0</v>
      </c>
      <c r="S60" s="10">
        <v>0</v>
      </c>
      <c r="T60" s="9">
        <v>0</v>
      </c>
      <c r="U60" s="11">
        <v>0</v>
      </c>
      <c r="V60" s="11">
        <v>1000</v>
      </c>
      <c r="W60" s="10">
        <v>0</v>
      </c>
      <c r="X60" t="s">
        <v>269</v>
      </c>
      <c r="Y60" s="12">
        <v>45931</v>
      </c>
      <c r="Z60" s="13">
        <v>3</v>
      </c>
      <c r="AA60" t="e">
        <f t="shared" si="0"/>
        <v>#DIV/0!</v>
      </c>
    </row>
    <row r="61" spans="1:27" x14ac:dyDescent="0.3">
      <c r="A61" t="s">
        <v>270</v>
      </c>
      <c r="B61" t="s">
        <v>267</v>
      </c>
      <c r="C61" t="s">
        <v>92</v>
      </c>
      <c r="D61" t="s">
        <v>271</v>
      </c>
      <c r="E61" t="s">
        <v>259</v>
      </c>
      <c r="F61" t="s">
        <v>32</v>
      </c>
      <c r="G61" t="s">
        <v>111</v>
      </c>
      <c r="H61" t="s">
        <v>34</v>
      </c>
      <c r="I61" t="s">
        <v>35</v>
      </c>
      <c r="J61" t="s">
        <v>36</v>
      </c>
      <c r="K61" s="9">
        <v>1434.92823</v>
      </c>
      <c r="L61" s="9">
        <v>2999</v>
      </c>
      <c r="M61" s="9">
        <v>2999</v>
      </c>
      <c r="N61">
        <v>0</v>
      </c>
      <c r="O61">
        <v>5</v>
      </c>
      <c r="P61" s="9">
        <v>0</v>
      </c>
      <c r="Q61" s="9">
        <v>0</v>
      </c>
      <c r="R61" s="9">
        <v>0</v>
      </c>
      <c r="S61" s="10">
        <v>0</v>
      </c>
      <c r="T61" s="9">
        <v>0</v>
      </c>
      <c r="U61" s="11">
        <v>0</v>
      </c>
      <c r="V61" s="11">
        <v>1000</v>
      </c>
      <c r="W61" s="10">
        <v>0</v>
      </c>
      <c r="X61" t="s">
        <v>272</v>
      </c>
      <c r="Y61" s="12">
        <v>45932</v>
      </c>
      <c r="Z61" s="13">
        <v>3</v>
      </c>
      <c r="AA61" t="e">
        <f t="shared" si="0"/>
        <v>#DIV/0!</v>
      </c>
    </row>
    <row r="62" spans="1:27" x14ac:dyDescent="0.3">
      <c r="A62" t="s">
        <v>273</v>
      </c>
      <c r="B62" t="s">
        <v>267</v>
      </c>
      <c r="C62" t="s">
        <v>75</v>
      </c>
      <c r="D62" t="s">
        <v>274</v>
      </c>
      <c r="E62" t="s">
        <v>259</v>
      </c>
      <c r="F62" t="s">
        <v>32</v>
      </c>
      <c r="G62" t="s">
        <v>111</v>
      </c>
      <c r="H62" t="s">
        <v>34</v>
      </c>
      <c r="I62" t="s">
        <v>35</v>
      </c>
      <c r="J62" t="s">
        <v>36</v>
      </c>
      <c r="K62" s="9">
        <v>1434.92823</v>
      </c>
      <c r="L62" s="9">
        <v>2999</v>
      </c>
      <c r="M62" s="9">
        <v>2999</v>
      </c>
      <c r="N62">
        <v>0</v>
      </c>
      <c r="O62">
        <v>5</v>
      </c>
      <c r="P62" s="9">
        <v>0</v>
      </c>
      <c r="Q62" s="9">
        <v>0</v>
      </c>
      <c r="R62" s="9">
        <v>0</v>
      </c>
      <c r="S62" s="10">
        <v>0</v>
      </c>
      <c r="T62" s="9">
        <v>0</v>
      </c>
      <c r="U62" s="11">
        <v>0</v>
      </c>
      <c r="V62" s="11">
        <v>1000</v>
      </c>
      <c r="W62" s="10">
        <v>0</v>
      </c>
      <c r="X62" t="s">
        <v>275</v>
      </c>
      <c r="Y62" s="12">
        <v>45932</v>
      </c>
      <c r="Z62" s="13">
        <v>3</v>
      </c>
      <c r="AA62" t="e">
        <f t="shared" si="0"/>
        <v>#DIV/0!</v>
      </c>
    </row>
    <row r="63" spans="1:27" x14ac:dyDescent="0.3">
      <c r="A63" t="s">
        <v>276</v>
      </c>
      <c r="B63" t="s">
        <v>267</v>
      </c>
      <c r="C63" t="s">
        <v>97</v>
      </c>
      <c r="D63" t="s">
        <v>277</v>
      </c>
      <c r="E63" t="s">
        <v>259</v>
      </c>
      <c r="F63" t="s">
        <v>32</v>
      </c>
      <c r="G63" t="s">
        <v>111</v>
      </c>
      <c r="H63" t="s">
        <v>34</v>
      </c>
      <c r="I63" t="s">
        <v>35</v>
      </c>
      <c r="J63" t="s">
        <v>36</v>
      </c>
      <c r="K63" s="9">
        <v>1434.92823</v>
      </c>
      <c r="L63" s="9">
        <v>2999</v>
      </c>
      <c r="M63" s="9">
        <v>2999</v>
      </c>
      <c r="N63">
        <v>0</v>
      </c>
      <c r="O63">
        <v>5</v>
      </c>
      <c r="P63" s="9">
        <v>0</v>
      </c>
      <c r="Q63" s="9">
        <v>0</v>
      </c>
      <c r="R63" s="9">
        <v>0</v>
      </c>
      <c r="S63" s="10">
        <v>0</v>
      </c>
      <c r="T63" s="9">
        <v>0</v>
      </c>
      <c r="U63" s="11">
        <v>0</v>
      </c>
      <c r="V63" s="11">
        <v>1000</v>
      </c>
      <c r="W63" s="10">
        <v>0</v>
      </c>
      <c r="X63" t="s">
        <v>278</v>
      </c>
      <c r="Y63" s="12">
        <v>45932</v>
      </c>
      <c r="Z63" s="13">
        <v>3</v>
      </c>
      <c r="AA63" t="e">
        <f t="shared" si="0"/>
        <v>#DIV/0!</v>
      </c>
    </row>
    <row r="64" spans="1:27" x14ac:dyDescent="0.3">
      <c r="A64" t="s">
        <v>279</v>
      </c>
      <c r="B64" t="s">
        <v>267</v>
      </c>
      <c r="C64" t="s">
        <v>64</v>
      </c>
      <c r="D64" t="s">
        <v>280</v>
      </c>
      <c r="E64" t="s">
        <v>259</v>
      </c>
      <c r="F64" t="s">
        <v>32</v>
      </c>
      <c r="G64" t="s">
        <v>111</v>
      </c>
      <c r="H64" t="s">
        <v>34</v>
      </c>
      <c r="I64" t="s">
        <v>35</v>
      </c>
      <c r="J64" t="s">
        <v>36</v>
      </c>
      <c r="K64" s="9">
        <v>1434.92823</v>
      </c>
      <c r="L64" s="9">
        <v>2999</v>
      </c>
      <c r="M64" s="9">
        <v>2999</v>
      </c>
      <c r="N64">
        <v>0</v>
      </c>
      <c r="O64">
        <v>10</v>
      </c>
      <c r="P64" s="9">
        <v>0</v>
      </c>
      <c r="Q64" s="9">
        <v>0</v>
      </c>
      <c r="R64" s="9">
        <v>0</v>
      </c>
      <c r="S64" s="10">
        <v>0</v>
      </c>
      <c r="T64" s="9">
        <v>0</v>
      </c>
      <c r="U64" s="11">
        <v>0</v>
      </c>
      <c r="V64" s="11">
        <v>1000</v>
      </c>
      <c r="W64" s="10">
        <v>0</v>
      </c>
      <c r="X64" t="s">
        <v>281</v>
      </c>
      <c r="Y64" s="12">
        <v>45934</v>
      </c>
      <c r="Z64" s="13">
        <v>5</v>
      </c>
      <c r="AA64" t="e">
        <f t="shared" si="0"/>
        <v>#DIV/0!</v>
      </c>
    </row>
    <row r="65" spans="1:27" x14ac:dyDescent="0.3">
      <c r="A65" t="s">
        <v>282</v>
      </c>
      <c r="B65" t="s">
        <v>283</v>
      </c>
      <c r="C65" t="s">
        <v>29</v>
      </c>
      <c r="D65" t="s">
        <v>30</v>
      </c>
      <c r="E65" t="s">
        <v>31</v>
      </c>
      <c r="F65" t="s">
        <v>32</v>
      </c>
      <c r="G65" t="s">
        <v>111</v>
      </c>
      <c r="H65" t="s">
        <v>34</v>
      </c>
      <c r="I65" t="s">
        <v>35</v>
      </c>
      <c r="J65" t="s">
        <v>36</v>
      </c>
      <c r="K65" s="9">
        <v>1341.67</v>
      </c>
      <c r="L65" s="9">
        <v>2199</v>
      </c>
      <c r="M65" s="9">
        <v>2199</v>
      </c>
      <c r="N65">
        <v>0</v>
      </c>
      <c r="O65">
        <v>0</v>
      </c>
      <c r="P65" s="9">
        <v>0</v>
      </c>
      <c r="Q65" s="9">
        <v>0</v>
      </c>
      <c r="R65" s="9">
        <v>0</v>
      </c>
      <c r="S65" s="10">
        <v>0</v>
      </c>
      <c r="T65" s="9">
        <v>0</v>
      </c>
      <c r="U65" s="11">
        <v>0</v>
      </c>
      <c r="V65" s="11">
        <v>1000</v>
      </c>
      <c r="W65" s="10" t="e">
        <v>#DIV/0!</v>
      </c>
      <c r="X65" t="s">
        <v>284</v>
      </c>
      <c r="Y65" s="12">
        <v>45945</v>
      </c>
      <c r="Z65" s="13">
        <v>0</v>
      </c>
      <c r="AA65" t="e">
        <f t="shared" si="0"/>
        <v>#DIV/0!</v>
      </c>
    </row>
    <row r="66" spans="1:27" x14ac:dyDescent="0.3">
      <c r="A66" t="s">
        <v>285</v>
      </c>
      <c r="B66" t="s">
        <v>286</v>
      </c>
      <c r="C66" t="s">
        <v>97</v>
      </c>
      <c r="D66" t="s">
        <v>287</v>
      </c>
      <c r="E66" t="s">
        <v>31</v>
      </c>
      <c r="F66" t="s">
        <v>32</v>
      </c>
      <c r="G66" t="s">
        <v>288</v>
      </c>
      <c r="H66" t="s">
        <v>34</v>
      </c>
      <c r="I66" t="s">
        <v>35</v>
      </c>
      <c r="J66" t="s">
        <v>36</v>
      </c>
      <c r="K66" s="9">
        <v>1229.8699999999999</v>
      </c>
      <c r="L66" s="9">
        <v>2199</v>
      </c>
      <c r="M66" s="9">
        <v>2199</v>
      </c>
      <c r="N66">
        <v>0</v>
      </c>
      <c r="O66">
        <v>50</v>
      </c>
      <c r="P66" s="9">
        <v>0</v>
      </c>
      <c r="Q66" s="9">
        <v>0</v>
      </c>
      <c r="R66" s="9">
        <v>0</v>
      </c>
      <c r="S66" s="10">
        <v>0</v>
      </c>
      <c r="T66" s="9">
        <v>0</v>
      </c>
      <c r="U66" s="11">
        <v>0</v>
      </c>
      <c r="V66" s="11">
        <v>1000</v>
      </c>
      <c r="W66" s="10">
        <v>0</v>
      </c>
      <c r="X66">
        <v>0</v>
      </c>
      <c r="Y66" s="12">
        <v>45946</v>
      </c>
      <c r="Z66" s="13">
        <v>25</v>
      </c>
      <c r="AA66" t="e">
        <f t="shared" si="0"/>
        <v>#DIV/0!</v>
      </c>
    </row>
    <row r="67" spans="1:27" x14ac:dyDescent="0.3">
      <c r="A67" t="s">
        <v>289</v>
      </c>
      <c r="B67" t="s">
        <v>290</v>
      </c>
      <c r="C67" t="s">
        <v>291</v>
      </c>
      <c r="D67" t="s">
        <v>287</v>
      </c>
      <c r="E67" t="s">
        <v>31</v>
      </c>
      <c r="F67" t="s">
        <v>32</v>
      </c>
      <c r="G67" t="s">
        <v>288</v>
      </c>
      <c r="H67" t="s">
        <v>34</v>
      </c>
      <c r="I67" t="s">
        <v>35</v>
      </c>
      <c r="J67" t="s">
        <v>36</v>
      </c>
      <c r="K67" s="9">
        <v>1229.8699999999999</v>
      </c>
      <c r="L67" s="9">
        <v>2199</v>
      </c>
      <c r="M67" s="9">
        <v>2199</v>
      </c>
      <c r="N67">
        <v>0</v>
      </c>
      <c r="O67">
        <v>0</v>
      </c>
      <c r="P67" s="9">
        <v>0</v>
      </c>
      <c r="Q67" s="9">
        <v>0</v>
      </c>
      <c r="R67" s="9">
        <v>0</v>
      </c>
      <c r="S67" s="10">
        <v>0</v>
      </c>
      <c r="T67" s="9">
        <v>0</v>
      </c>
      <c r="U67" s="11">
        <v>0</v>
      </c>
      <c r="V67" s="11">
        <v>1000</v>
      </c>
      <c r="W67" s="10" t="e">
        <v>#DIV/0!</v>
      </c>
      <c r="X67">
        <v>0</v>
      </c>
      <c r="Y67" s="12">
        <v>45945</v>
      </c>
      <c r="Z67" s="13">
        <v>0</v>
      </c>
      <c r="AA67" t="e">
        <f t="shared" ref="AA67:AA110" si="1">(T67/P67)*19</f>
        <v>#DIV/0!</v>
      </c>
    </row>
    <row r="68" spans="1:27" x14ac:dyDescent="0.3">
      <c r="A68" t="s">
        <v>292</v>
      </c>
      <c r="B68" t="s">
        <v>293</v>
      </c>
      <c r="C68" t="s">
        <v>29</v>
      </c>
      <c r="D68" t="s">
        <v>294</v>
      </c>
      <c r="E68" t="s">
        <v>31</v>
      </c>
      <c r="F68" t="s">
        <v>32</v>
      </c>
      <c r="G68" t="s">
        <v>111</v>
      </c>
      <c r="H68" t="s">
        <v>34</v>
      </c>
      <c r="I68" t="s">
        <v>35</v>
      </c>
      <c r="J68" t="s">
        <v>36</v>
      </c>
      <c r="K68" s="9">
        <v>1463.7</v>
      </c>
      <c r="L68" s="9">
        <v>2399</v>
      </c>
      <c r="M68" s="9">
        <v>2399</v>
      </c>
      <c r="N68">
        <v>0</v>
      </c>
      <c r="O68">
        <v>0</v>
      </c>
      <c r="P68" s="9">
        <v>0</v>
      </c>
      <c r="Q68" s="9">
        <v>0</v>
      </c>
      <c r="R68" s="9">
        <v>0</v>
      </c>
      <c r="S68" s="10">
        <v>0</v>
      </c>
      <c r="T68" s="9">
        <v>0</v>
      </c>
      <c r="U68" s="11">
        <v>0</v>
      </c>
      <c r="V68" s="11">
        <v>1000</v>
      </c>
      <c r="W68" s="10" t="e">
        <v>#DIV/0!</v>
      </c>
      <c r="X68">
        <v>0</v>
      </c>
      <c r="Y68" s="12">
        <v>45945</v>
      </c>
      <c r="Z68" s="13">
        <v>0</v>
      </c>
      <c r="AA68" t="e">
        <f t="shared" si="1"/>
        <v>#DIV/0!</v>
      </c>
    </row>
    <row r="69" spans="1:27" x14ac:dyDescent="0.3">
      <c r="A69" t="s">
        <v>295</v>
      </c>
      <c r="B69" t="s">
        <v>296</v>
      </c>
      <c r="C69" t="s">
        <v>291</v>
      </c>
      <c r="D69" t="s">
        <v>297</v>
      </c>
      <c r="E69" t="s">
        <v>31</v>
      </c>
      <c r="F69" t="s">
        <v>99</v>
      </c>
      <c r="G69" t="s">
        <v>298</v>
      </c>
      <c r="H69" t="s">
        <v>88</v>
      </c>
      <c r="I69" t="s">
        <v>89</v>
      </c>
      <c r="J69" t="s">
        <v>36</v>
      </c>
      <c r="K69" s="9">
        <v>2561.9299999999998</v>
      </c>
      <c r="L69" s="9">
        <v>4199</v>
      </c>
      <c r="M69" s="9">
        <v>4199</v>
      </c>
      <c r="N69">
        <v>0</v>
      </c>
      <c r="O69">
        <v>0</v>
      </c>
      <c r="P69" s="9">
        <v>0</v>
      </c>
      <c r="Q69" s="9">
        <v>0</v>
      </c>
      <c r="R69" s="9">
        <v>0</v>
      </c>
      <c r="S69" s="10">
        <v>0</v>
      </c>
      <c r="T69" s="9">
        <v>0</v>
      </c>
      <c r="U69" s="11">
        <v>0</v>
      </c>
      <c r="V69" s="11">
        <v>1000</v>
      </c>
      <c r="W69" s="10" t="e">
        <v>#DIV/0!</v>
      </c>
      <c r="X69">
        <v>0</v>
      </c>
      <c r="Y69" s="12">
        <v>45945</v>
      </c>
      <c r="Z69" s="13">
        <v>0</v>
      </c>
      <c r="AA69" t="e">
        <f t="shared" si="1"/>
        <v>#DIV/0!</v>
      </c>
    </row>
    <row r="70" spans="1:27" x14ac:dyDescent="0.3">
      <c r="A70" t="s">
        <v>299</v>
      </c>
      <c r="B70" t="s">
        <v>300</v>
      </c>
      <c r="C70" t="s">
        <v>97</v>
      </c>
      <c r="D70" t="s">
        <v>59</v>
      </c>
      <c r="E70" t="s">
        <v>31</v>
      </c>
      <c r="F70" t="s">
        <v>99</v>
      </c>
      <c r="G70" t="s">
        <v>100</v>
      </c>
      <c r="H70" t="s">
        <v>145</v>
      </c>
      <c r="I70" t="s">
        <v>50</v>
      </c>
      <c r="J70" t="s">
        <v>36</v>
      </c>
      <c r="K70" s="9">
        <v>3050.03</v>
      </c>
      <c r="L70" s="9">
        <v>4999</v>
      </c>
      <c r="M70" s="9">
        <v>4999</v>
      </c>
      <c r="N70">
        <v>0</v>
      </c>
      <c r="O70">
        <v>36</v>
      </c>
      <c r="P70" s="9">
        <v>0</v>
      </c>
      <c r="Q70" s="9">
        <v>0</v>
      </c>
      <c r="R70" s="9">
        <v>0</v>
      </c>
      <c r="S70" s="10">
        <v>0</v>
      </c>
      <c r="T70" s="9">
        <v>0</v>
      </c>
      <c r="U70" s="11">
        <v>0</v>
      </c>
      <c r="V70" s="11">
        <v>1000</v>
      </c>
      <c r="W70" s="10">
        <v>0</v>
      </c>
      <c r="X70" t="s">
        <v>301</v>
      </c>
      <c r="Y70" s="12">
        <v>45916</v>
      </c>
      <c r="Z70" s="13">
        <v>18</v>
      </c>
      <c r="AA70" t="e">
        <f t="shared" si="1"/>
        <v>#DIV/0!</v>
      </c>
    </row>
    <row r="71" spans="1:27" x14ac:dyDescent="0.3">
      <c r="A71" t="s">
        <v>302</v>
      </c>
      <c r="B71" t="s">
        <v>303</v>
      </c>
      <c r="C71" t="s">
        <v>29</v>
      </c>
      <c r="D71" t="s">
        <v>40</v>
      </c>
      <c r="E71" t="s">
        <v>31</v>
      </c>
      <c r="F71" t="s">
        <v>99</v>
      </c>
      <c r="G71" t="s">
        <v>239</v>
      </c>
      <c r="H71" t="s">
        <v>101</v>
      </c>
      <c r="I71" t="s">
        <v>102</v>
      </c>
      <c r="J71" t="s">
        <v>36</v>
      </c>
      <c r="K71" s="9">
        <v>1646.74</v>
      </c>
      <c r="L71" s="9">
        <v>2699</v>
      </c>
      <c r="M71" s="9">
        <v>2699</v>
      </c>
      <c r="N71">
        <v>0</v>
      </c>
      <c r="O71">
        <v>0</v>
      </c>
      <c r="P71" s="9">
        <v>0</v>
      </c>
      <c r="Q71" s="9">
        <v>0</v>
      </c>
      <c r="R71" s="9">
        <v>0</v>
      </c>
      <c r="S71" s="10">
        <v>0</v>
      </c>
      <c r="T71" s="9">
        <v>0</v>
      </c>
      <c r="U71" s="11">
        <v>0</v>
      </c>
      <c r="V71" s="11">
        <v>1000</v>
      </c>
      <c r="W71" s="10" t="e">
        <v>#DIV/0!</v>
      </c>
      <c r="X71">
        <v>0</v>
      </c>
      <c r="Y71" s="12">
        <v>45945</v>
      </c>
      <c r="Z71" s="13">
        <v>0</v>
      </c>
      <c r="AA71" t="e">
        <f t="shared" si="1"/>
        <v>#DIV/0!</v>
      </c>
    </row>
    <row r="72" spans="1:27" x14ac:dyDescent="0.3">
      <c r="A72" t="s">
        <v>304</v>
      </c>
      <c r="B72" t="s">
        <v>305</v>
      </c>
      <c r="C72" t="s">
        <v>306</v>
      </c>
      <c r="D72" t="s">
        <v>307</v>
      </c>
      <c r="E72" t="s">
        <v>31</v>
      </c>
      <c r="F72" t="s">
        <v>48</v>
      </c>
      <c r="G72" t="s">
        <v>144</v>
      </c>
      <c r="H72" t="s">
        <v>88</v>
      </c>
      <c r="I72" t="s">
        <v>89</v>
      </c>
      <c r="J72" t="s">
        <v>36</v>
      </c>
      <c r="K72" s="9">
        <v>6344.72</v>
      </c>
      <c r="L72" s="9">
        <v>10399</v>
      </c>
      <c r="M72" s="9">
        <v>10399</v>
      </c>
      <c r="N72">
        <v>0</v>
      </c>
      <c r="O72">
        <v>102</v>
      </c>
      <c r="P72" s="9">
        <v>0</v>
      </c>
      <c r="Q72" s="9">
        <v>0</v>
      </c>
      <c r="R72" s="9">
        <v>0</v>
      </c>
      <c r="S72" s="10">
        <v>0</v>
      </c>
      <c r="T72" s="9">
        <v>0</v>
      </c>
      <c r="U72" s="11">
        <v>0</v>
      </c>
      <c r="V72" s="11">
        <v>1000</v>
      </c>
      <c r="W72" s="10">
        <v>0</v>
      </c>
      <c r="X72">
        <v>0</v>
      </c>
      <c r="Y72" s="12">
        <v>45946</v>
      </c>
      <c r="Z72" s="13">
        <v>51</v>
      </c>
      <c r="AA72" t="e">
        <f t="shared" si="1"/>
        <v>#DIV/0!</v>
      </c>
    </row>
    <row r="73" spans="1:27" x14ac:dyDescent="0.3">
      <c r="A73" t="s">
        <v>308</v>
      </c>
      <c r="B73" t="s">
        <v>309</v>
      </c>
      <c r="C73" t="s">
        <v>29</v>
      </c>
      <c r="D73" t="s">
        <v>310</v>
      </c>
      <c r="E73" t="s">
        <v>31</v>
      </c>
      <c r="F73" t="s">
        <v>48</v>
      </c>
      <c r="G73" t="s">
        <v>311</v>
      </c>
      <c r="H73" t="s">
        <v>101</v>
      </c>
      <c r="I73" t="s">
        <v>102</v>
      </c>
      <c r="J73" t="s">
        <v>36</v>
      </c>
      <c r="K73" s="9">
        <v>2012.81</v>
      </c>
      <c r="L73" s="9">
        <v>3299</v>
      </c>
      <c r="M73" s="9">
        <v>3299</v>
      </c>
      <c r="N73">
        <v>0</v>
      </c>
      <c r="O73">
        <v>261</v>
      </c>
      <c r="P73" s="9">
        <v>0</v>
      </c>
      <c r="Q73" s="9">
        <v>0</v>
      </c>
      <c r="R73" s="9">
        <v>0</v>
      </c>
      <c r="S73" s="10">
        <v>0</v>
      </c>
      <c r="T73" s="9">
        <v>0</v>
      </c>
      <c r="U73" s="11">
        <v>0</v>
      </c>
      <c r="V73" s="11">
        <v>1000</v>
      </c>
      <c r="W73" s="10">
        <v>0</v>
      </c>
      <c r="X73">
        <v>0</v>
      </c>
      <c r="Y73" s="12">
        <v>45945</v>
      </c>
      <c r="Z73" s="13">
        <v>131</v>
      </c>
      <c r="AA73" t="e">
        <f t="shared" si="1"/>
        <v>#DIV/0!</v>
      </c>
    </row>
    <row r="74" spans="1:27" x14ac:dyDescent="0.3">
      <c r="A74" t="s">
        <v>312</v>
      </c>
      <c r="B74" t="s">
        <v>313</v>
      </c>
      <c r="C74" t="s">
        <v>92</v>
      </c>
      <c r="D74" t="s">
        <v>314</v>
      </c>
      <c r="E74" t="s">
        <v>31</v>
      </c>
      <c r="F74" t="s">
        <v>48</v>
      </c>
      <c r="G74" t="s">
        <v>61</v>
      </c>
      <c r="H74" t="s">
        <v>315</v>
      </c>
      <c r="I74" t="s">
        <v>316</v>
      </c>
      <c r="J74" t="s">
        <v>36</v>
      </c>
      <c r="K74" s="9">
        <v>1341.67</v>
      </c>
      <c r="L74" s="9">
        <v>2199</v>
      </c>
      <c r="M74" s="9">
        <v>2199</v>
      </c>
      <c r="N74">
        <v>0</v>
      </c>
      <c r="O74">
        <v>150</v>
      </c>
      <c r="P74" s="9">
        <v>0</v>
      </c>
      <c r="Q74" s="9">
        <v>0</v>
      </c>
      <c r="R74" s="9">
        <v>0</v>
      </c>
      <c r="S74" s="10">
        <v>0</v>
      </c>
      <c r="T74" s="9">
        <v>0</v>
      </c>
      <c r="U74" s="11">
        <v>0</v>
      </c>
      <c r="V74" s="11">
        <v>1000</v>
      </c>
      <c r="W74" s="10">
        <v>0</v>
      </c>
      <c r="X74">
        <v>0</v>
      </c>
      <c r="Y74" s="12">
        <v>45945</v>
      </c>
      <c r="Z74" s="13">
        <v>75</v>
      </c>
      <c r="AA74" t="e">
        <f t="shared" si="1"/>
        <v>#DIV/0!</v>
      </c>
    </row>
    <row r="75" spans="1:27" x14ac:dyDescent="0.3">
      <c r="A75" t="s">
        <v>317</v>
      </c>
      <c r="B75" t="s">
        <v>318</v>
      </c>
      <c r="C75" t="s">
        <v>64</v>
      </c>
      <c r="D75" t="s">
        <v>65</v>
      </c>
      <c r="E75" t="s">
        <v>31</v>
      </c>
      <c r="F75" t="s">
        <v>99</v>
      </c>
      <c r="G75" t="s">
        <v>319</v>
      </c>
      <c r="H75" t="s">
        <v>145</v>
      </c>
      <c r="I75" t="s">
        <v>50</v>
      </c>
      <c r="J75" t="s">
        <v>36</v>
      </c>
      <c r="K75" s="9">
        <v>1646.74</v>
      </c>
      <c r="L75" s="9">
        <v>2699</v>
      </c>
      <c r="M75" s="9">
        <v>2699</v>
      </c>
      <c r="N75">
        <v>0</v>
      </c>
      <c r="O75">
        <v>94</v>
      </c>
      <c r="P75" s="9">
        <v>0</v>
      </c>
      <c r="Q75" s="9">
        <v>0</v>
      </c>
      <c r="R75" s="9">
        <v>0</v>
      </c>
      <c r="S75" s="10">
        <v>0</v>
      </c>
      <c r="T75" s="9">
        <v>0</v>
      </c>
      <c r="U75" s="11">
        <v>0</v>
      </c>
      <c r="V75" s="11">
        <v>1000</v>
      </c>
      <c r="W75" s="10">
        <v>0</v>
      </c>
      <c r="X75">
        <v>0</v>
      </c>
      <c r="Y75" s="12">
        <v>45946</v>
      </c>
      <c r="Z75" s="13">
        <v>47</v>
      </c>
      <c r="AA75" t="e">
        <f t="shared" si="1"/>
        <v>#DIV/0!</v>
      </c>
    </row>
    <row r="76" spans="1:27" x14ac:dyDescent="0.3">
      <c r="A76" t="s">
        <v>320</v>
      </c>
      <c r="B76" t="s">
        <v>321</v>
      </c>
      <c r="C76" t="s">
        <v>29</v>
      </c>
      <c r="D76" t="s">
        <v>322</v>
      </c>
      <c r="E76" t="s">
        <v>31</v>
      </c>
      <c r="F76" t="s">
        <v>99</v>
      </c>
      <c r="G76" t="s">
        <v>136</v>
      </c>
      <c r="H76" t="s">
        <v>101</v>
      </c>
      <c r="I76" t="s">
        <v>102</v>
      </c>
      <c r="J76" t="s">
        <v>36</v>
      </c>
      <c r="K76" s="9">
        <v>1951.8</v>
      </c>
      <c r="L76" s="9">
        <v>3199</v>
      </c>
      <c r="M76" s="9">
        <v>3199</v>
      </c>
      <c r="N76">
        <v>0</v>
      </c>
      <c r="O76">
        <v>100</v>
      </c>
      <c r="P76" s="9">
        <v>0</v>
      </c>
      <c r="Q76" s="9">
        <v>0</v>
      </c>
      <c r="R76" s="9">
        <v>0</v>
      </c>
      <c r="S76" s="10">
        <v>0</v>
      </c>
      <c r="T76" s="9">
        <v>0</v>
      </c>
      <c r="U76" s="11">
        <v>0</v>
      </c>
      <c r="V76" s="11">
        <v>1000</v>
      </c>
      <c r="W76" s="10">
        <v>0</v>
      </c>
      <c r="X76">
        <v>0</v>
      </c>
      <c r="Y76" s="12">
        <v>45945</v>
      </c>
      <c r="Z76" s="13">
        <v>50</v>
      </c>
      <c r="AA76" t="e">
        <f t="shared" si="1"/>
        <v>#DIV/0!</v>
      </c>
    </row>
    <row r="77" spans="1:27" x14ac:dyDescent="0.3">
      <c r="A77" t="s">
        <v>323</v>
      </c>
      <c r="B77" t="s">
        <v>324</v>
      </c>
      <c r="C77" t="s">
        <v>152</v>
      </c>
      <c r="D77" t="s">
        <v>325</v>
      </c>
      <c r="E77" t="s">
        <v>31</v>
      </c>
      <c r="F77" t="s">
        <v>99</v>
      </c>
      <c r="G77" t="s">
        <v>239</v>
      </c>
      <c r="H77" t="s">
        <v>88</v>
      </c>
      <c r="I77" t="s">
        <v>89</v>
      </c>
      <c r="J77" t="s">
        <v>36</v>
      </c>
      <c r="K77" s="9">
        <v>1646.74</v>
      </c>
      <c r="L77" s="9">
        <v>2699</v>
      </c>
      <c r="M77" s="9">
        <v>2699</v>
      </c>
      <c r="N77">
        <v>0</v>
      </c>
      <c r="O77">
        <v>53</v>
      </c>
      <c r="P77" s="9">
        <v>0</v>
      </c>
      <c r="Q77" s="9">
        <v>0</v>
      </c>
      <c r="R77" s="9">
        <v>0</v>
      </c>
      <c r="S77" s="10">
        <v>0</v>
      </c>
      <c r="T77" s="9">
        <v>0</v>
      </c>
      <c r="U77" s="11">
        <v>0</v>
      </c>
      <c r="V77" s="11">
        <v>1000</v>
      </c>
      <c r="W77" s="10">
        <v>0</v>
      </c>
      <c r="X77">
        <v>0</v>
      </c>
      <c r="Y77" s="12">
        <v>45945</v>
      </c>
      <c r="Z77" s="13">
        <v>27</v>
      </c>
      <c r="AA77" t="e">
        <f t="shared" si="1"/>
        <v>#DIV/0!</v>
      </c>
    </row>
    <row r="78" spans="1:27" x14ac:dyDescent="0.3">
      <c r="A78" t="s">
        <v>326</v>
      </c>
      <c r="B78" t="s">
        <v>327</v>
      </c>
      <c r="C78" t="s">
        <v>75</v>
      </c>
      <c r="D78" t="s">
        <v>328</v>
      </c>
      <c r="E78" t="s">
        <v>31</v>
      </c>
      <c r="F78" t="s">
        <v>32</v>
      </c>
      <c r="G78" t="s">
        <v>329</v>
      </c>
      <c r="H78" t="s">
        <v>34</v>
      </c>
      <c r="I78" t="s">
        <v>35</v>
      </c>
      <c r="J78" t="s">
        <v>36</v>
      </c>
      <c r="K78" s="9">
        <v>1118.01</v>
      </c>
      <c r="L78" s="9">
        <v>1999</v>
      </c>
      <c r="M78" s="9">
        <v>1999</v>
      </c>
      <c r="N78">
        <v>0</v>
      </c>
      <c r="O78">
        <v>40</v>
      </c>
      <c r="P78" s="9">
        <v>0</v>
      </c>
      <c r="Q78" s="9">
        <v>0</v>
      </c>
      <c r="R78" s="9">
        <v>0</v>
      </c>
      <c r="S78" s="10">
        <v>0</v>
      </c>
      <c r="T78" s="9">
        <v>0</v>
      </c>
      <c r="U78" s="11">
        <v>0</v>
      </c>
      <c r="V78" s="11">
        <v>1000</v>
      </c>
      <c r="W78" s="10">
        <v>0</v>
      </c>
      <c r="X78">
        <v>0</v>
      </c>
      <c r="Y78" s="12">
        <v>45926</v>
      </c>
      <c r="Z78" s="13">
        <v>20</v>
      </c>
      <c r="AA78" t="e">
        <f t="shared" si="1"/>
        <v>#DIV/0!</v>
      </c>
    </row>
    <row r="79" spans="1:27" x14ac:dyDescent="0.3">
      <c r="A79" t="s">
        <v>330</v>
      </c>
      <c r="B79" t="s">
        <v>331</v>
      </c>
      <c r="C79" t="s">
        <v>152</v>
      </c>
      <c r="D79" t="s">
        <v>332</v>
      </c>
      <c r="E79" t="s">
        <v>31</v>
      </c>
      <c r="F79" t="s">
        <v>99</v>
      </c>
      <c r="G79" t="s">
        <v>333</v>
      </c>
      <c r="H79" t="s">
        <v>101</v>
      </c>
      <c r="I79" t="s">
        <v>102</v>
      </c>
      <c r="J79" t="s">
        <v>36</v>
      </c>
      <c r="K79" s="9">
        <v>3538.13</v>
      </c>
      <c r="L79" s="9">
        <v>5799</v>
      </c>
      <c r="M79" s="9">
        <v>5799</v>
      </c>
      <c r="N79">
        <v>0</v>
      </c>
      <c r="O79">
        <v>60</v>
      </c>
      <c r="P79" s="9">
        <v>0</v>
      </c>
      <c r="Q79" s="9">
        <v>0</v>
      </c>
      <c r="R79" s="9">
        <v>0</v>
      </c>
      <c r="S79" s="10">
        <v>0</v>
      </c>
      <c r="T79" s="9">
        <v>0</v>
      </c>
      <c r="U79" s="11">
        <v>0</v>
      </c>
      <c r="V79" s="11">
        <v>1000</v>
      </c>
      <c r="W79" s="10">
        <v>0</v>
      </c>
      <c r="X79">
        <v>0</v>
      </c>
      <c r="Y79" s="12">
        <v>45945</v>
      </c>
      <c r="Z79" s="13">
        <v>30</v>
      </c>
      <c r="AA79" t="e">
        <f t="shared" si="1"/>
        <v>#DIV/0!</v>
      </c>
    </row>
    <row r="80" spans="1:27" x14ac:dyDescent="0.3">
      <c r="A80" t="s">
        <v>334</v>
      </c>
      <c r="B80" t="s">
        <v>324</v>
      </c>
      <c r="C80" t="s">
        <v>152</v>
      </c>
      <c r="D80" t="s">
        <v>335</v>
      </c>
      <c r="E80" t="s">
        <v>31</v>
      </c>
      <c r="F80" t="s">
        <v>99</v>
      </c>
      <c r="G80" t="s">
        <v>239</v>
      </c>
      <c r="H80" t="s">
        <v>88</v>
      </c>
      <c r="I80" t="s">
        <v>89</v>
      </c>
      <c r="J80" t="s">
        <v>36</v>
      </c>
      <c r="K80" s="9">
        <v>1646.74</v>
      </c>
      <c r="L80" s="9">
        <v>2699</v>
      </c>
      <c r="M80" s="9">
        <v>2699</v>
      </c>
      <c r="N80">
        <v>0</v>
      </c>
      <c r="O80">
        <v>53</v>
      </c>
      <c r="P80" s="9">
        <v>0</v>
      </c>
      <c r="Q80" s="9">
        <v>0</v>
      </c>
      <c r="R80" s="9">
        <v>0</v>
      </c>
      <c r="S80" s="10">
        <v>0</v>
      </c>
      <c r="T80" s="9">
        <v>0</v>
      </c>
      <c r="U80" s="11">
        <v>0</v>
      </c>
      <c r="V80" s="11">
        <v>1000</v>
      </c>
      <c r="W80" s="10">
        <v>0</v>
      </c>
      <c r="X80">
        <v>0</v>
      </c>
      <c r="Y80" s="12">
        <v>45945</v>
      </c>
      <c r="Z80" s="13">
        <v>27</v>
      </c>
      <c r="AA80" t="e">
        <f t="shared" si="1"/>
        <v>#DIV/0!</v>
      </c>
    </row>
    <row r="81" spans="1:27" x14ac:dyDescent="0.3">
      <c r="A81" t="s">
        <v>336</v>
      </c>
      <c r="B81" t="s">
        <v>337</v>
      </c>
      <c r="C81" t="s">
        <v>152</v>
      </c>
      <c r="D81" t="s">
        <v>338</v>
      </c>
      <c r="E81" t="s">
        <v>31</v>
      </c>
      <c r="F81" t="s">
        <v>99</v>
      </c>
      <c r="G81" t="s">
        <v>333</v>
      </c>
      <c r="H81" t="s">
        <v>88</v>
      </c>
      <c r="I81" t="s">
        <v>89</v>
      </c>
      <c r="J81" t="s">
        <v>36</v>
      </c>
      <c r="K81" s="9">
        <v>3294.08</v>
      </c>
      <c r="L81" s="9">
        <v>5399</v>
      </c>
      <c r="M81" s="9">
        <v>5399</v>
      </c>
      <c r="N81">
        <v>0</v>
      </c>
      <c r="O81">
        <v>100</v>
      </c>
      <c r="P81" s="9">
        <v>0</v>
      </c>
      <c r="Q81" s="9">
        <v>0</v>
      </c>
      <c r="R81" s="9">
        <v>0</v>
      </c>
      <c r="S81" s="10">
        <v>0</v>
      </c>
      <c r="T81" s="9">
        <v>0</v>
      </c>
      <c r="U81" s="11">
        <v>0</v>
      </c>
      <c r="V81" s="11">
        <v>1000</v>
      </c>
      <c r="W81" s="10">
        <v>0</v>
      </c>
      <c r="X81">
        <v>0</v>
      </c>
      <c r="Y81" s="12">
        <v>45943</v>
      </c>
      <c r="Z81" s="13">
        <v>50</v>
      </c>
      <c r="AA81" t="e">
        <f t="shared" si="1"/>
        <v>#DIV/0!</v>
      </c>
    </row>
    <row r="82" spans="1:27" x14ac:dyDescent="0.3">
      <c r="A82" t="s">
        <v>339</v>
      </c>
      <c r="B82" t="s">
        <v>340</v>
      </c>
      <c r="C82" t="s">
        <v>291</v>
      </c>
      <c r="D82" t="s">
        <v>341</v>
      </c>
      <c r="E82" t="s">
        <v>342</v>
      </c>
      <c r="F82" t="s">
        <v>48</v>
      </c>
      <c r="G82" t="s">
        <v>343</v>
      </c>
      <c r="H82" t="s">
        <v>101</v>
      </c>
      <c r="I82" t="s">
        <v>102</v>
      </c>
      <c r="J82" t="s">
        <v>36</v>
      </c>
      <c r="K82" s="9">
        <v>5405.4004910000003</v>
      </c>
      <c r="L82" s="9">
        <v>10999.99</v>
      </c>
      <c r="M82" s="9">
        <v>10999.99</v>
      </c>
      <c r="N82">
        <v>0</v>
      </c>
      <c r="O82">
        <v>0</v>
      </c>
      <c r="P82" s="9">
        <v>0</v>
      </c>
      <c r="Q82" s="9">
        <v>0</v>
      </c>
      <c r="R82" s="9">
        <v>0</v>
      </c>
      <c r="S82" s="10">
        <v>0</v>
      </c>
      <c r="T82" s="9">
        <v>0</v>
      </c>
      <c r="U82" s="11">
        <v>0</v>
      </c>
      <c r="V82" s="11">
        <v>1000</v>
      </c>
      <c r="W82" s="10" t="e">
        <v>#DIV/0!</v>
      </c>
      <c r="X82">
        <v>0</v>
      </c>
      <c r="Y82" s="12">
        <v>45945</v>
      </c>
      <c r="Z82" s="13">
        <v>0</v>
      </c>
      <c r="AA82" t="e">
        <f t="shared" si="1"/>
        <v>#DIV/0!</v>
      </c>
    </row>
    <row r="83" spans="1:27" x14ac:dyDescent="0.3">
      <c r="A83" t="s">
        <v>344</v>
      </c>
      <c r="B83" t="s">
        <v>345</v>
      </c>
      <c r="C83" t="s">
        <v>97</v>
      </c>
      <c r="D83" t="s">
        <v>346</v>
      </c>
      <c r="E83" t="s">
        <v>342</v>
      </c>
      <c r="F83" t="s">
        <v>48</v>
      </c>
      <c r="G83" t="s">
        <v>343</v>
      </c>
      <c r="H83" t="s">
        <v>101</v>
      </c>
      <c r="I83" t="s">
        <v>102</v>
      </c>
      <c r="J83" t="s">
        <v>36</v>
      </c>
      <c r="K83" s="9">
        <v>5896.8009830000001</v>
      </c>
      <c r="L83" s="9">
        <v>11999.99</v>
      </c>
      <c r="M83" s="9">
        <v>11999.99</v>
      </c>
      <c r="N83">
        <v>0</v>
      </c>
      <c r="O83">
        <v>56</v>
      </c>
      <c r="P83" s="9">
        <v>0</v>
      </c>
      <c r="Q83" s="9">
        <v>0</v>
      </c>
      <c r="R83" s="9">
        <v>0</v>
      </c>
      <c r="S83" s="10">
        <v>0</v>
      </c>
      <c r="T83" s="9">
        <v>0</v>
      </c>
      <c r="U83" s="11">
        <v>0</v>
      </c>
      <c r="V83" s="11">
        <v>1000</v>
      </c>
      <c r="W83" s="10">
        <v>0</v>
      </c>
      <c r="X83" t="s">
        <v>347</v>
      </c>
      <c r="Y83" s="12">
        <v>45943</v>
      </c>
      <c r="Z83" s="13">
        <v>28</v>
      </c>
      <c r="AA83" t="e">
        <f t="shared" si="1"/>
        <v>#DIV/0!</v>
      </c>
    </row>
    <row r="84" spans="1:27" x14ac:dyDescent="0.3">
      <c r="A84" t="s">
        <v>348</v>
      </c>
      <c r="B84" t="s">
        <v>349</v>
      </c>
      <c r="C84" t="s">
        <v>29</v>
      </c>
      <c r="D84" t="s">
        <v>124</v>
      </c>
      <c r="E84" t="s">
        <v>350</v>
      </c>
      <c r="F84" t="s">
        <v>32</v>
      </c>
      <c r="G84" t="s">
        <v>111</v>
      </c>
      <c r="H84" t="s">
        <v>34</v>
      </c>
      <c r="I84" t="s">
        <v>35</v>
      </c>
      <c r="J84" t="s">
        <v>36</v>
      </c>
      <c r="K84" s="9">
        <v>1434.92823</v>
      </c>
      <c r="L84" s="9">
        <v>2999</v>
      </c>
      <c r="M84" s="9">
        <v>2999</v>
      </c>
      <c r="N84">
        <v>0</v>
      </c>
      <c r="O84">
        <v>16</v>
      </c>
      <c r="P84" s="9">
        <v>0</v>
      </c>
      <c r="Q84" s="9">
        <v>0</v>
      </c>
      <c r="R84" s="9">
        <v>0</v>
      </c>
      <c r="S84" s="10">
        <v>0</v>
      </c>
      <c r="T84" s="9">
        <v>0</v>
      </c>
      <c r="U84" s="11">
        <v>0</v>
      </c>
      <c r="V84" s="11">
        <v>1000</v>
      </c>
      <c r="W84" s="10">
        <v>0</v>
      </c>
      <c r="X84">
        <v>0</v>
      </c>
      <c r="Y84" s="12">
        <v>45934</v>
      </c>
      <c r="Z84" s="13">
        <v>8</v>
      </c>
      <c r="AA84" t="e">
        <f t="shared" si="1"/>
        <v>#DIV/0!</v>
      </c>
    </row>
    <row r="85" spans="1:27" x14ac:dyDescent="0.3">
      <c r="A85" t="s">
        <v>351</v>
      </c>
      <c r="B85" t="s">
        <v>349</v>
      </c>
      <c r="C85" t="s">
        <v>75</v>
      </c>
      <c r="D85" t="s">
        <v>352</v>
      </c>
      <c r="E85" t="s">
        <v>350</v>
      </c>
      <c r="F85" t="s">
        <v>32</v>
      </c>
      <c r="G85" t="s">
        <v>111</v>
      </c>
      <c r="H85" t="s">
        <v>34</v>
      </c>
      <c r="I85" t="s">
        <v>35</v>
      </c>
      <c r="J85" t="s">
        <v>36</v>
      </c>
      <c r="K85" s="9">
        <v>1434.92823</v>
      </c>
      <c r="L85" s="9">
        <v>2999</v>
      </c>
      <c r="M85" s="9">
        <v>2999</v>
      </c>
      <c r="N85">
        <v>0</v>
      </c>
      <c r="O85">
        <v>30</v>
      </c>
      <c r="P85" s="9">
        <v>0</v>
      </c>
      <c r="Q85" s="9">
        <v>0</v>
      </c>
      <c r="R85" s="9">
        <v>0</v>
      </c>
      <c r="S85" s="10">
        <v>0</v>
      </c>
      <c r="T85" s="9">
        <v>0</v>
      </c>
      <c r="U85" s="11">
        <v>0</v>
      </c>
      <c r="V85" s="11">
        <v>1000</v>
      </c>
      <c r="W85" s="10">
        <v>0</v>
      </c>
      <c r="X85">
        <v>0</v>
      </c>
      <c r="Y85" s="12">
        <v>45936</v>
      </c>
      <c r="Z85" s="13">
        <v>15</v>
      </c>
      <c r="AA85" t="e">
        <f t="shared" si="1"/>
        <v>#DIV/0!</v>
      </c>
    </row>
    <row r="86" spans="1:27" x14ac:dyDescent="0.3">
      <c r="A86" t="s">
        <v>353</v>
      </c>
      <c r="B86" t="s">
        <v>354</v>
      </c>
      <c r="C86" t="s">
        <v>152</v>
      </c>
      <c r="D86" t="s">
        <v>355</v>
      </c>
      <c r="E86" t="s">
        <v>60</v>
      </c>
      <c r="F86" t="s">
        <v>48</v>
      </c>
      <c r="G86" t="s">
        <v>144</v>
      </c>
      <c r="H86" t="s">
        <v>101</v>
      </c>
      <c r="I86" t="s">
        <v>102</v>
      </c>
      <c r="J86" t="s">
        <v>36</v>
      </c>
      <c r="K86" s="9">
        <v>2233.25</v>
      </c>
      <c r="L86" s="9">
        <v>4299</v>
      </c>
      <c r="M86" s="9">
        <v>4299</v>
      </c>
      <c r="N86">
        <v>0</v>
      </c>
      <c r="O86">
        <v>0</v>
      </c>
      <c r="P86" s="9">
        <v>0</v>
      </c>
      <c r="Q86" s="9">
        <v>0</v>
      </c>
      <c r="R86" s="9">
        <v>0</v>
      </c>
      <c r="S86" s="10">
        <v>0</v>
      </c>
      <c r="T86" s="9">
        <v>0</v>
      </c>
      <c r="U86" s="11">
        <v>0</v>
      </c>
      <c r="V86" s="11">
        <v>1000</v>
      </c>
      <c r="W86" s="10" t="e">
        <v>#DIV/0!</v>
      </c>
      <c r="X86">
        <v>0</v>
      </c>
      <c r="Y86" s="12">
        <v>45943</v>
      </c>
      <c r="Z86" s="13">
        <v>0</v>
      </c>
      <c r="AA86" t="e">
        <f t="shared" si="1"/>
        <v>#DIV/0!</v>
      </c>
    </row>
    <row r="87" spans="1:27" x14ac:dyDescent="0.3">
      <c r="A87" t="s">
        <v>356</v>
      </c>
      <c r="B87" t="s">
        <v>354</v>
      </c>
      <c r="C87" t="s">
        <v>129</v>
      </c>
      <c r="D87" t="s">
        <v>357</v>
      </c>
      <c r="E87" t="s">
        <v>60</v>
      </c>
      <c r="F87" t="s">
        <v>48</v>
      </c>
      <c r="G87" t="s">
        <v>144</v>
      </c>
      <c r="H87" t="s">
        <v>101</v>
      </c>
      <c r="I87" t="s">
        <v>102</v>
      </c>
      <c r="J87" t="s">
        <v>36</v>
      </c>
      <c r="K87" s="9">
        <v>2233.25</v>
      </c>
      <c r="L87" s="9">
        <v>4299</v>
      </c>
      <c r="M87" s="9">
        <v>4299</v>
      </c>
      <c r="N87">
        <v>0</v>
      </c>
      <c r="O87">
        <v>0</v>
      </c>
      <c r="P87" s="9">
        <v>0</v>
      </c>
      <c r="Q87" s="9">
        <v>0</v>
      </c>
      <c r="R87" s="9">
        <v>0</v>
      </c>
      <c r="S87" s="10">
        <v>0</v>
      </c>
      <c r="T87" s="9">
        <v>0</v>
      </c>
      <c r="U87" s="11">
        <v>0</v>
      </c>
      <c r="V87" s="11">
        <v>1000</v>
      </c>
      <c r="W87" s="10" t="e">
        <v>#DIV/0!</v>
      </c>
      <c r="X87">
        <v>0</v>
      </c>
      <c r="Y87" s="12">
        <v>45943</v>
      </c>
      <c r="Z87" s="13">
        <v>0</v>
      </c>
      <c r="AA87" t="e">
        <f t="shared" si="1"/>
        <v>#DIV/0!</v>
      </c>
    </row>
    <row r="88" spans="1:27" x14ac:dyDescent="0.3">
      <c r="A88" t="s">
        <v>358</v>
      </c>
      <c r="B88" t="s">
        <v>359</v>
      </c>
      <c r="C88" t="s">
        <v>92</v>
      </c>
      <c r="D88" t="s">
        <v>360</v>
      </c>
      <c r="E88" t="s">
        <v>361</v>
      </c>
      <c r="F88" t="s">
        <v>99</v>
      </c>
      <c r="G88" t="s">
        <v>333</v>
      </c>
      <c r="H88" t="s">
        <v>88</v>
      </c>
      <c r="I88" t="s">
        <v>89</v>
      </c>
      <c r="J88" t="s">
        <v>36</v>
      </c>
      <c r="K88" s="9">
        <v>3519.347319</v>
      </c>
      <c r="L88" s="9">
        <v>7549</v>
      </c>
      <c r="M88" s="9">
        <v>7549</v>
      </c>
      <c r="N88">
        <v>0</v>
      </c>
      <c r="O88">
        <v>31</v>
      </c>
      <c r="P88" s="9">
        <v>0</v>
      </c>
      <c r="Q88" s="9">
        <v>0</v>
      </c>
      <c r="R88" s="9">
        <v>0</v>
      </c>
      <c r="S88" s="10">
        <v>0</v>
      </c>
      <c r="T88" s="9">
        <v>0</v>
      </c>
      <c r="U88" s="11">
        <v>0</v>
      </c>
      <c r="V88" s="11">
        <v>1000</v>
      </c>
      <c r="W88" s="10">
        <v>0</v>
      </c>
      <c r="X88">
        <v>0</v>
      </c>
      <c r="Y88" s="12">
        <v>45933</v>
      </c>
      <c r="Z88" s="13">
        <v>16</v>
      </c>
      <c r="AA88" t="e">
        <f t="shared" si="1"/>
        <v>#DIV/0!</v>
      </c>
    </row>
    <row r="89" spans="1:27" x14ac:dyDescent="0.3">
      <c r="A89" t="s">
        <v>362</v>
      </c>
      <c r="B89" t="s">
        <v>363</v>
      </c>
      <c r="C89" t="s">
        <v>97</v>
      </c>
      <c r="D89" t="s">
        <v>364</v>
      </c>
      <c r="E89" t="s">
        <v>361</v>
      </c>
      <c r="F89" t="s">
        <v>32</v>
      </c>
      <c r="G89" t="s">
        <v>111</v>
      </c>
      <c r="H89" t="s">
        <v>34</v>
      </c>
      <c r="I89" t="s">
        <v>35</v>
      </c>
      <c r="J89" t="s">
        <v>36</v>
      </c>
      <c r="K89" s="9">
        <v>2447.0862470000002</v>
      </c>
      <c r="L89" s="9">
        <v>5249</v>
      </c>
      <c r="M89" s="9">
        <v>5249</v>
      </c>
      <c r="N89">
        <v>0</v>
      </c>
      <c r="O89">
        <v>19</v>
      </c>
      <c r="P89" s="9">
        <v>0</v>
      </c>
      <c r="Q89" s="9">
        <v>0</v>
      </c>
      <c r="R89" s="9">
        <v>0</v>
      </c>
      <c r="S89" s="10">
        <v>0</v>
      </c>
      <c r="T89" s="9">
        <v>0</v>
      </c>
      <c r="U89" s="11">
        <v>0</v>
      </c>
      <c r="V89" s="11">
        <v>1000</v>
      </c>
      <c r="W89" s="10">
        <v>0</v>
      </c>
      <c r="X89">
        <v>0</v>
      </c>
      <c r="Y89" s="12">
        <v>45925</v>
      </c>
      <c r="Z89" s="13">
        <v>10</v>
      </c>
      <c r="AA89" t="e">
        <f t="shared" si="1"/>
        <v>#DIV/0!</v>
      </c>
    </row>
    <row r="90" spans="1:27" x14ac:dyDescent="0.3">
      <c r="A90" t="s">
        <v>365</v>
      </c>
      <c r="B90" t="s">
        <v>366</v>
      </c>
      <c r="C90" t="s">
        <v>97</v>
      </c>
      <c r="D90" t="s">
        <v>367</v>
      </c>
      <c r="E90" t="s">
        <v>361</v>
      </c>
      <c r="F90" t="s">
        <v>99</v>
      </c>
      <c r="G90" t="s">
        <v>333</v>
      </c>
      <c r="H90" t="s">
        <v>101</v>
      </c>
      <c r="I90" t="s">
        <v>102</v>
      </c>
      <c r="J90" t="s">
        <v>36</v>
      </c>
      <c r="K90" s="9">
        <v>6526.3403259999995</v>
      </c>
      <c r="L90" s="9">
        <v>13999</v>
      </c>
      <c r="M90" s="9">
        <v>13999</v>
      </c>
      <c r="N90">
        <v>0</v>
      </c>
      <c r="O90">
        <v>32</v>
      </c>
      <c r="P90" s="9">
        <v>0</v>
      </c>
      <c r="Q90" s="9">
        <v>0</v>
      </c>
      <c r="R90" s="9">
        <v>0</v>
      </c>
      <c r="S90" s="10">
        <v>0</v>
      </c>
      <c r="T90" s="9">
        <v>0</v>
      </c>
      <c r="U90" s="11">
        <v>0</v>
      </c>
      <c r="V90" s="11">
        <v>1000</v>
      </c>
      <c r="W90" s="10">
        <v>0</v>
      </c>
      <c r="X90">
        <v>0</v>
      </c>
      <c r="Y90" s="12">
        <v>45945</v>
      </c>
      <c r="Z90" s="13">
        <v>16</v>
      </c>
      <c r="AA90" t="e">
        <f t="shared" si="1"/>
        <v>#DIV/0!</v>
      </c>
    </row>
    <row r="91" spans="1:27" x14ac:dyDescent="0.3">
      <c r="A91" t="s">
        <v>368</v>
      </c>
      <c r="B91" t="s">
        <v>369</v>
      </c>
      <c r="C91" t="s">
        <v>129</v>
      </c>
      <c r="D91" t="s">
        <v>370</v>
      </c>
      <c r="E91" t="s">
        <v>361</v>
      </c>
      <c r="F91" t="s">
        <v>99</v>
      </c>
      <c r="G91" t="s">
        <v>333</v>
      </c>
      <c r="H91" t="s">
        <v>88</v>
      </c>
      <c r="I91" t="s">
        <v>89</v>
      </c>
      <c r="J91" t="s">
        <v>36</v>
      </c>
      <c r="K91" s="9">
        <v>2913.286713</v>
      </c>
      <c r="L91" s="9">
        <v>6249</v>
      </c>
      <c r="M91" s="9">
        <v>6249</v>
      </c>
      <c r="N91">
        <v>0</v>
      </c>
      <c r="O91">
        <v>11</v>
      </c>
      <c r="P91" s="9">
        <v>0</v>
      </c>
      <c r="Q91" s="9">
        <v>0</v>
      </c>
      <c r="R91" s="9">
        <v>0</v>
      </c>
      <c r="S91" s="10">
        <v>0</v>
      </c>
      <c r="T91" s="9">
        <v>0</v>
      </c>
      <c r="U91" s="11">
        <v>0</v>
      </c>
      <c r="V91" s="11">
        <v>1000</v>
      </c>
      <c r="W91" s="10">
        <v>0</v>
      </c>
      <c r="X91">
        <v>0</v>
      </c>
      <c r="Y91" s="12">
        <v>45944</v>
      </c>
      <c r="Z91" s="13">
        <v>6</v>
      </c>
      <c r="AA91" t="e">
        <f t="shared" si="1"/>
        <v>#DIV/0!</v>
      </c>
    </row>
    <row r="92" spans="1:27" x14ac:dyDescent="0.3">
      <c r="A92" t="s">
        <v>371</v>
      </c>
      <c r="B92" t="s">
        <v>369</v>
      </c>
      <c r="C92" t="s">
        <v>29</v>
      </c>
      <c r="D92" t="s">
        <v>372</v>
      </c>
      <c r="E92" t="s">
        <v>361</v>
      </c>
      <c r="F92" t="s">
        <v>99</v>
      </c>
      <c r="G92" t="s">
        <v>333</v>
      </c>
      <c r="H92" t="s">
        <v>88</v>
      </c>
      <c r="I92" t="s">
        <v>89</v>
      </c>
      <c r="J92" t="s">
        <v>36</v>
      </c>
      <c r="K92" s="9">
        <v>2913.286713</v>
      </c>
      <c r="L92" s="9">
        <v>6249</v>
      </c>
      <c r="M92" s="9">
        <v>6249</v>
      </c>
      <c r="N92">
        <v>0</v>
      </c>
      <c r="O92">
        <v>5</v>
      </c>
      <c r="P92" s="9">
        <v>0</v>
      </c>
      <c r="Q92" s="9">
        <v>0</v>
      </c>
      <c r="R92" s="9">
        <v>0</v>
      </c>
      <c r="S92" s="10">
        <v>0</v>
      </c>
      <c r="T92" s="9">
        <v>0</v>
      </c>
      <c r="U92" s="11">
        <v>0</v>
      </c>
      <c r="V92" s="11">
        <v>1000</v>
      </c>
      <c r="W92" s="10">
        <v>0</v>
      </c>
      <c r="X92">
        <v>0</v>
      </c>
      <c r="Y92" s="12">
        <v>45944</v>
      </c>
      <c r="Z92" s="13">
        <v>3</v>
      </c>
      <c r="AA92" t="e">
        <f t="shared" si="1"/>
        <v>#DIV/0!</v>
      </c>
    </row>
    <row r="93" spans="1:27" x14ac:dyDescent="0.3">
      <c r="A93" t="s">
        <v>373</v>
      </c>
      <c r="B93" t="s">
        <v>374</v>
      </c>
      <c r="C93" t="s">
        <v>375</v>
      </c>
      <c r="D93" t="s">
        <v>376</v>
      </c>
      <c r="E93" t="s">
        <v>361</v>
      </c>
      <c r="F93" t="s">
        <v>48</v>
      </c>
      <c r="G93" t="s">
        <v>377</v>
      </c>
      <c r="H93" t="s">
        <v>101</v>
      </c>
      <c r="I93" t="s">
        <v>102</v>
      </c>
      <c r="J93" t="s">
        <v>36</v>
      </c>
      <c r="K93" s="9">
        <v>4797.4747470000002</v>
      </c>
      <c r="L93" s="9">
        <v>9499</v>
      </c>
      <c r="M93" s="9">
        <v>9499</v>
      </c>
      <c r="N93">
        <v>0</v>
      </c>
      <c r="O93">
        <v>28</v>
      </c>
      <c r="P93" s="9">
        <v>0</v>
      </c>
      <c r="Q93" s="9">
        <v>0</v>
      </c>
      <c r="R93" s="9">
        <v>0</v>
      </c>
      <c r="S93" s="10">
        <v>0</v>
      </c>
      <c r="T93" s="9">
        <v>0</v>
      </c>
      <c r="U93" s="11">
        <v>0</v>
      </c>
      <c r="V93" s="11">
        <v>1000</v>
      </c>
      <c r="W93" s="10">
        <v>0</v>
      </c>
      <c r="X93">
        <v>0</v>
      </c>
      <c r="Y93" s="12">
        <v>45924</v>
      </c>
      <c r="Z93" s="13">
        <v>14</v>
      </c>
      <c r="AA93" t="e">
        <f t="shared" si="1"/>
        <v>#DIV/0!</v>
      </c>
    </row>
    <row r="94" spans="1:27" x14ac:dyDescent="0.3">
      <c r="A94" t="s">
        <v>378</v>
      </c>
      <c r="B94" t="s">
        <v>379</v>
      </c>
      <c r="C94" t="s">
        <v>29</v>
      </c>
      <c r="D94" t="s">
        <v>380</v>
      </c>
      <c r="E94" t="s">
        <v>361</v>
      </c>
      <c r="F94" t="s">
        <v>48</v>
      </c>
      <c r="G94" t="s">
        <v>144</v>
      </c>
      <c r="H94" t="s">
        <v>101</v>
      </c>
      <c r="I94" t="s">
        <v>102</v>
      </c>
      <c r="J94" t="s">
        <v>36</v>
      </c>
      <c r="K94" s="9">
        <v>5050</v>
      </c>
      <c r="L94" s="9">
        <v>9999</v>
      </c>
      <c r="M94" s="9">
        <v>9999</v>
      </c>
      <c r="N94">
        <v>0</v>
      </c>
      <c r="O94">
        <v>24</v>
      </c>
      <c r="P94" s="9">
        <v>0</v>
      </c>
      <c r="Q94" s="9">
        <v>0</v>
      </c>
      <c r="R94" s="9">
        <v>0</v>
      </c>
      <c r="S94" s="10">
        <v>0</v>
      </c>
      <c r="T94" s="9">
        <v>0</v>
      </c>
      <c r="U94" s="11">
        <v>0</v>
      </c>
      <c r="V94" s="11">
        <v>1000</v>
      </c>
      <c r="W94" s="10">
        <v>0</v>
      </c>
      <c r="X94">
        <v>0</v>
      </c>
      <c r="Y94" s="12">
        <v>45925</v>
      </c>
      <c r="Z94" s="13">
        <v>12</v>
      </c>
      <c r="AA94" t="e">
        <f t="shared" si="1"/>
        <v>#DIV/0!</v>
      </c>
    </row>
    <row r="95" spans="1:27" x14ac:dyDescent="0.3">
      <c r="A95" t="s">
        <v>381</v>
      </c>
      <c r="B95" t="s">
        <v>382</v>
      </c>
      <c r="C95" t="s">
        <v>383</v>
      </c>
      <c r="D95" t="s">
        <v>384</v>
      </c>
      <c r="E95" t="s">
        <v>361</v>
      </c>
      <c r="F95" t="s">
        <v>48</v>
      </c>
      <c r="G95" t="s">
        <v>343</v>
      </c>
      <c r="H95" t="s">
        <v>101</v>
      </c>
      <c r="I95" t="s">
        <v>102</v>
      </c>
      <c r="J95" t="s">
        <v>36</v>
      </c>
      <c r="K95" s="9">
        <v>4039.8989900000001</v>
      </c>
      <c r="L95" s="9">
        <v>7999</v>
      </c>
      <c r="M95" s="9">
        <v>7999</v>
      </c>
      <c r="N95">
        <v>0</v>
      </c>
      <c r="O95">
        <v>48</v>
      </c>
      <c r="P95" s="9">
        <v>0</v>
      </c>
      <c r="Q95" s="9">
        <v>0</v>
      </c>
      <c r="R95" s="9">
        <v>0</v>
      </c>
      <c r="S95" s="10">
        <v>0</v>
      </c>
      <c r="T95" s="9">
        <v>0</v>
      </c>
      <c r="U95" s="11">
        <v>0</v>
      </c>
      <c r="V95" s="11">
        <v>1000</v>
      </c>
      <c r="W95" s="10">
        <v>0</v>
      </c>
      <c r="X95" t="s">
        <v>385</v>
      </c>
      <c r="Y95" s="12">
        <v>45938</v>
      </c>
      <c r="Z95" s="13">
        <v>24</v>
      </c>
      <c r="AA95" t="e">
        <f t="shared" si="1"/>
        <v>#DIV/0!</v>
      </c>
    </row>
    <row r="96" spans="1:27" x14ac:dyDescent="0.3">
      <c r="A96" t="s">
        <v>386</v>
      </c>
      <c r="B96" t="s">
        <v>387</v>
      </c>
      <c r="C96" t="s">
        <v>75</v>
      </c>
      <c r="D96" t="s">
        <v>388</v>
      </c>
      <c r="E96" t="s">
        <v>361</v>
      </c>
      <c r="F96" t="s">
        <v>99</v>
      </c>
      <c r="G96" t="s">
        <v>389</v>
      </c>
      <c r="H96" t="s">
        <v>101</v>
      </c>
      <c r="I96" t="s">
        <v>102</v>
      </c>
      <c r="J96" t="s">
        <v>36</v>
      </c>
      <c r="K96" s="9">
        <v>1864.335664</v>
      </c>
      <c r="L96" s="9">
        <v>3999</v>
      </c>
      <c r="M96" s="9">
        <v>3999</v>
      </c>
      <c r="N96">
        <v>0</v>
      </c>
      <c r="O96">
        <v>43</v>
      </c>
      <c r="P96" s="9">
        <v>0</v>
      </c>
      <c r="Q96" s="9">
        <v>0</v>
      </c>
      <c r="R96" s="9">
        <v>0</v>
      </c>
      <c r="S96" s="10">
        <v>0</v>
      </c>
      <c r="T96" s="9">
        <v>0</v>
      </c>
      <c r="U96" s="11">
        <v>0</v>
      </c>
      <c r="V96" s="11">
        <v>1000</v>
      </c>
      <c r="W96" s="10">
        <v>0</v>
      </c>
      <c r="X96">
        <v>0</v>
      </c>
      <c r="Y96" s="12">
        <v>45938</v>
      </c>
      <c r="Z96" s="13">
        <v>22</v>
      </c>
      <c r="AA96" t="e">
        <f t="shared" si="1"/>
        <v>#DIV/0!</v>
      </c>
    </row>
    <row r="97" spans="1:27" x14ac:dyDescent="0.3">
      <c r="A97" t="s">
        <v>390</v>
      </c>
      <c r="B97" t="s">
        <v>387</v>
      </c>
      <c r="C97" t="s">
        <v>129</v>
      </c>
      <c r="D97" t="s">
        <v>391</v>
      </c>
      <c r="E97" t="s">
        <v>361</v>
      </c>
      <c r="F97" t="s">
        <v>99</v>
      </c>
      <c r="G97" t="s">
        <v>389</v>
      </c>
      <c r="H97" t="s">
        <v>101</v>
      </c>
      <c r="I97" t="s">
        <v>102</v>
      </c>
      <c r="J97" t="s">
        <v>36</v>
      </c>
      <c r="K97" s="9">
        <v>1864.335664</v>
      </c>
      <c r="L97" s="9">
        <v>3999</v>
      </c>
      <c r="M97" s="9">
        <v>3999</v>
      </c>
      <c r="N97">
        <v>0</v>
      </c>
      <c r="O97">
        <v>40</v>
      </c>
      <c r="P97" s="9">
        <v>0</v>
      </c>
      <c r="Q97" s="9">
        <v>0</v>
      </c>
      <c r="R97" s="9">
        <v>0</v>
      </c>
      <c r="S97" s="10">
        <v>0</v>
      </c>
      <c r="T97" s="9">
        <v>0</v>
      </c>
      <c r="U97" s="11">
        <v>0</v>
      </c>
      <c r="V97" s="11">
        <v>1000</v>
      </c>
      <c r="W97" s="10">
        <v>0</v>
      </c>
      <c r="X97">
        <v>0</v>
      </c>
      <c r="Y97" s="12">
        <v>45944</v>
      </c>
      <c r="Z97" s="13">
        <v>20</v>
      </c>
      <c r="AA97" t="e">
        <f t="shared" si="1"/>
        <v>#DIV/0!</v>
      </c>
    </row>
    <row r="98" spans="1:27" x14ac:dyDescent="0.3">
      <c r="A98" t="s">
        <v>392</v>
      </c>
      <c r="B98" t="s">
        <v>393</v>
      </c>
      <c r="C98" t="s">
        <v>92</v>
      </c>
      <c r="D98" t="s">
        <v>394</v>
      </c>
      <c r="E98" t="s">
        <v>361</v>
      </c>
      <c r="F98" t="s">
        <v>99</v>
      </c>
      <c r="G98" t="s">
        <v>333</v>
      </c>
      <c r="H98" t="s">
        <v>88</v>
      </c>
      <c r="I98" t="s">
        <v>89</v>
      </c>
      <c r="J98" t="s">
        <v>36</v>
      </c>
      <c r="K98" s="9">
        <v>6642.8904430000002</v>
      </c>
      <c r="L98" s="9">
        <v>14249</v>
      </c>
      <c r="M98" s="9">
        <v>14249</v>
      </c>
      <c r="N98">
        <v>0</v>
      </c>
      <c r="O98">
        <v>7</v>
      </c>
      <c r="P98" s="9">
        <v>0</v>
      </c>
      <c r="Q98" s="9">
        <v>0</v>
      </c>
      <c r="R98" s="9">
        <v>0</v>
      </c>
      <c r="S98" s="10">
        <v>0</v>
      </c>
      <c r="T98" s="9">
        <v>0</v>
      </c>
      <c r="U98" s="11">
        <v>0</v>
      </c>
      <c r="V98" s="11">
        <v>1000</v>
      </c>
      <c r="W98" s="10">
        <v>0</v>
      </c>
      <c r="X98">
        <v>0</v>
      </c>
      <c r="Y98" s="12">
        <v>45944</v>
      </c>
      <c r="Z98" s="13">
        <v>4</v>
      </c>
      <c r="AA98" t="e">
        <f t="shared" si="1"/>
        <v>#DIV/0!</v>
      </c>
    </row>
    <row r="99" spans="1:27" x14ac:dyDescent="0.3">
      <c r="A99" t="s">
        <v>395</v>
      </c>
      <c r="B99" t="s">
        <v>396</v>
      </c>
      <c r="C99" t="s">
        <v>306</v>
      </c>
      <c r="D99" t="s">
        <v>397</v>
      </c>
      <c r="E99" t="s">
        <v>361</v>
      </c>
      <c r="F99" t="s">
        <v>99</v>
      </c>
      <c r="G99" t="s">
        <v>389</v>
      </c>
      <c r="H99" t="s">
        <v>88</v>
      </c>
      <c r="I99" t="s">
        <v>89</v>
      </c>
      <c r="J99" t="s">
        <v>36</v>
      </c>
      <c r="K99" s="9">
        <v>2213.9860140000001</v>
      </c>
      <c r="L99" s="9">
        <v>4749</v>
      </c>
      <c r="M99" s="9">
        <v>4749</v>
      </c>
      <c r="N99">
        <v>0</v>
      </c>
      <c r="O99">
        <v>21</v>
      </c>
      <c r="P99" s="9">
        <v>0</v>
      </c>
      <c r="Q99" s="9">
        <v>0</v>
      </c>
      <c r="R99" s="9">
        <v>0</v>
      </c>
      <c r="S99" s="10">
        <v>0</v>
      </c>
      <c r="T99" s="9">
        <v>0</v>
      </c>
      <c r="U99" s="11">
        <v>0</v>
      </c>
      <c r="V99" s="11">
        <v>1000</v>
      </c>
      <c r="W99" s="10">
        <v>0</v>
      </c>
      <c r="X99">
        <v>0</v>
      </c>
      <c r="Y99" s="12">
        <v>45941</v>
      </c>
      <c r="Z99" s="13">
        <v>11</v>
      </c>
      <c r="AA99" t="e">
        <f t="shared" si="1"/>
        <v>#DIV/0!</v>
      </c>
    </row>
    <row r="100" spans="1:27" x14ac:dyDescent="0.3">
      <c r="A100" t="s">
        <v>398</v>
      </c>
      <c r="B100" t="s">
        <v>399</v>
      </c>
      <c r="C100" t="s">
        <v>29</v>
      </c>
      <c r="D100" t="s">
        <v>400</v>
      </c>
      <c r="E100" t="s">
        <v>125</v>
      </c>
      <c r="F100" t="s">
        <v>32</v>
      </c>
      <c r="G100" t="s">
        <v>401</v>
      </c>
      <c r="H100" t="s">
        <v>34</v>
      </c>
      <c r="I100" t="s">
        <v>35</v>
      </c>
      <c r="J100" t="s">
        <v>36</v>
      </c>
      <c r="K100" s="9">
        <v>132.85714300000001</v>
      </c>
      <c r="L100" s="9">
        <v>279</v>
      </c>
      <c r="M100" s="9">
        <v>279</v>
      </c>
      <c r="N100">
        <v>0</v>
      </c>
      <c r="O100">
        <v>4</v>
      </c>
      <c r="P100" s="9">
        <v>0</v>
      </c>
      <c r="Q100" s="9">
        <v>0</v>
      </c>
      <c r="R100" s="9">
        <v>0</v>
      </c>
      <c r="S100" s="10">
        <v>0</v>
      </c>
      <c r="T100" s="9">
        <v>0</v>
      </c>
      <c r="U100" s="11">
        <v>0</v>
      </c>
      <c r="V100" s="11">
        <v>1000</v>
      </c>
      <c r="W100" s="10">
        <v>0</v>
      </c>
      <c r="X100" t="s">
        <v>402</v>
      </c>
      <c r="Y100" s="12">
        <v>45861</v>
      </c>
      <c r="Z100" s="13">
        <v>5</v>
      </c>
      <c r="AA100" t="e">
        <f t="shared" si="1"/>
        <v>#DIV/0!</v>
      </c>
    </row>
    <row r="101" spans="1:27" x14ac:dyDescent="0.3">
      <c r="A101" t="s">
        <v>403</v>
      </c>
      <c r="B101" t="s">
        <v>404</v>
      </c>
      <c r="C101" t="s">
        <v>29</v>
      </c>
      <c r="D101" t="s">
        <v>40</v>
      </c>
      <c r="E101" t="s">
        <v>125</v>
      </c>
      <c r="F101" t="s">
        <v>99</v>
      </c>
      <c r="G101" t="s">
        <v>298</v>
      </c>
      <c r="H101" t="s">
        <v>88</v>
      </c>
      <c r="I101" t="s">
        <v>89</v>
      </c>
      <c r="J101" t="s">
        <v>36</v>
      </c>
      <c r="K101" s="9">
        <v>1298.181818</v>
      </c>
      <c r="L101" s="9">
        <v>2499</v>
      </c>
      <c r="M101" s="9">
        <v>2499</v>
      </c>
      <c r="N101">
        <v>0</v>
      </c>
      <c r="O101">
        <v>18</v>
      </c>
      <c r="P101" s="9">
        <v>0</v>
      </c>
      <c r="Q101" s="9">
        <v>0</v>
      </c>
      <c r="R101" s="9">
        <v>0</v>
      </c>
      <c r="S101" s="10">
        <v>0</v>
      </c>
      <c r="T101" s="9">
        <v>0</v>
      </c>
      <c r="U101" s="11">
        <v>0</v>
      </c>
      <c r="V101" s="11">
        <v>1000</v>
      </c>
      <c r="W101" s="10">
        <v>0</v>
      </c>
      <c r="X101">
        <v>0</v>
      </c>
      <c r="Y101" s="12">
        <v>45939</v>
      </c>
      <c r="Z101" s="13">
        <v>9</v>
      </c>
      <c r="AA101" t="e">
        <f t="shared" si="1"/>
        <v>#DIV/0!</v>
      </c>
    </row>
    <row r="102" spans="1:27" x14ac:dyDescent="0.3">
      <c r="A102" t="s">
        <v>405</v>
      </c>
      <c r="B102" t="s">
        <v>406</v>
      </c>
      <c r="C102" t="s">
        <v>129</v>
      </c>
      <c r="D102" t="s">
        <v>407</v>
      </c>
      <c r="E102" t="s">
        <v>408</v>
      </c>
      <c r="F102" t="s">
        <v>48</v>
      </c>
      <c r="G102" t="s">
        <v>377</v>
      </c>
      <c r="H102" t="s">
        <v>101</v>
      </c>
      <c r="I102" t="s">
        <v>102</v>
      </c>
      <c r="J102" t="s">
        <v>36</v>
      </c>
      <c r="K102" s="9">
        <v>4039.8989900000001</v>
      </c>
      <c r="L102" s="9">
        <v>7999</v>
      </c>
      <c r="M102" s="9">
        <v>7999</v>
      </c>
      <c r="N102">
        <v>0</v>
      </c>
      <c r="O102">
        <v>55</v>
      </c>
      <c r="P102" s="9">
        <v>0</v>
      </c>
      <c r="Q102" s="9">
        <v>0</v>
      </c>
      <c r="R102" s="9">
        <v>0</v>
      </c>
      <c r="S102" s="10">
        <v>0</v>
      </c>
      <c r="T102" s="9">
        <v>0</v>
      </c>
      <c r="U102" s="11">
        <v>0</v>
      </c>
      <c r="V102" s="11">
        <v>1000</v>
      </c>
      <c r="W102" s="10">
        <v>0</v>
      </c>
      <c r="X102" t="s">
        <v>409</v>
      </c>
      <c r="Y102" s="12">
        <v>45912</v>
      </c>
      <c r="Z102" s="13">
        <v>28</v>
      </c>
      <c r="AA102" t="e">
        <f t="shared" si="1"/>
        <v>#DIV/0!</v>
      </c>
    </row>
    <row r="103" spans="1:27" x14ac:dyDescent="0.3">
      <c r="A103" t="s">
        <v>410</v>
      </c>
      <c r="B103" t="s">
        <v>411</v>
      </c>
      <c r="C103" t="s">
        <v>129</v>
      </c>
      <c r="D103" t="s">
        <v>130</v>
      </c>
      <c r="E103" t="s">
        <v>60</v>
      </c>
      <c r="F103" t="s">
        <v>48</v>
      </c>
      <c r="G103" t="s">
        <v>61</v>
      </c>
      <c r="H103" t="s">
        <v>34</v>
      </c>
      <c r="I103" t="s">
        <v>102</v>
      </c>
      <c r="J103" t="s">
        <v>36</v>
      </c>
      <c r="K103" s="9">
        <v>3376.1</v>
      </c>
      <c r="L103" s="9">
        <v>6499</v>
      </c>
      <c r="M103" s="9">
        <v>6499</v>
      </c>
      <c r="N103">
        <v>0</v>
      </c>
      <c r="O103">
        <v>36</v>
      </c>
      <c r="P103" s="9">
        <v>0</v>
      </c>
      <c r="Q103" s="9">
        <v>0</v>
      </c>
      <c r="R103" s="9">
        <v>0</v>
      </c>
      <c r="S103" s="10">
        <v>0</v>
      </c>
      <c r="T103" s="9">
        <v>0</v>
      </c>
      <c r="U103" s="11">
        <v>0</v>
      </c>
      <c r="V103" s="11">
        <v>1000</v>
      </c>
      <c r="W103" s="10">
        <v>0</v>
      </c>
      <c r="X103">
        <v>0</v>
      </c>
      <c r="Y103" s="12">
        <v>45946</v>
      </c>
      <c r="Z103" s="13">
        <v>18</v>
      </c>
      <c r="AA103" t="e">
        <f t="shared" si="1"/>
        <v>#DIV/0!</v>
      </c>
    </row>
    <row r="104" spans="1:27" x14ac:dyDescent="0.3">
      <c r="A104" t="s">
        <v>412</v>
      </c>
      <c r="B104" t="s">
        <v>413</v>
      </c>
      <c r="C104" t="s">
        <v>129</v>
      </c>
      <c r="D104" t="s">
        <v>130</v>
      </c>
      <c r="E104" t="s">
        <v>60</v>
      </c>
      <c r="F104" t="s">
        <v>48</v>
      </c>
      <c r="G104" t="s">
        <v>61</v>
      </c>
      <c r="H104" t="s">
        <v>34</v>
      </c>
      <c r="I104" t="s">
        <v>35</v>
      </c>
      <c r="J104" t="s">
        <v>36</v>
      </c>
      <c r="K104" s="9">
        <v>3324.16</v>
      </c>
      <c r="L104" s="9">
        <v>6399</v>
      </c>
      <c r="M104" s="9">
        <v>6399</v>
      </c>
      <c r="N104">
        <v>0</v>
      </c>
      <c r="O104">
        <v>72</v>
      </c>
      <c r="P104" s="9">
        <v>0</v>
      </c>
      <c r="Q104" s="9">
        <v>0</v>
      </c>
      <c r="R104" s="9">
        <v>0</v>
      </c>
      <c r="S104" s="10">
        <v>0</v>
      </c>
      <c r="T104" s="9">
        <v>0</v>
      </c>
      <c r="U104" s="11">
        <v>0</v>
      </c>
      <c r="V104" s="11">
        <v>1000</v>
      </c>
      <c r="W104" s="10">
        <v>0</v>
      </c>
      <c r="X104">
        <v>0</v>
      </c>
      <c r="Y104" s="12">
        <v>45946</v>
      </c>
      <c r="Z104" s="13">
        <v>36</v>
      </c>
      <c r="AA104" t="e">
        <f t="shared" si="1"/>
        <v>#DIV/0!</v>
      </c>
    </row>
    <row r="105" spans="1:27" x14ac:dyDescent="0.3">
      <c r="A105" t="s">
        <v>414</v>
      </c>
      <c r="B105" t="s">
        <v>413</v>
      </c>
      <c r="C105" t="s">
        <v>45</v>
      </c>
      <c r="D105" t="s">
        <v>46</v>
      </c>
      <c r="E105" t="s">
        <v>60</v>
      </c>
      <c r="F105" t="s">
        <v>48</v>
      </c>
      <c r="G105" t="s">
        <v>61</v>
      </c>
      <c r="H105" t="s">
        <v>34</v>
      </c>
      <c r="I105" t="s">
        <v>35</v>
      </c>
      <c r="J105" t="s">
        <v>36</v>
      </c>
      <c r="K105" s="9">
        <v>3324.16</v>
      </c>
      <c r="L105" s="9">
        <v>6399</v>
      </c>
      <c r="M105" s="9">
        <v>6399</v>
      </c>
      <c r="N105">
        <v>0</v>
      </c>
      <c r="O105">
        <v>0</v>
      </c>
      <c r="P105" s="9">
        <v>0</v>
      </c>
      <c r="Q105" s="9">
        <v>0</v>
      </c>
      <c r="R105" s="9">
        <v>0</v>
      </c>
      <c r="S105" s="10">
        <v>0</v>
      </c>
      <c r="T105" s="9">
        <v>0</v>
      </c>
      <c r="U105" s="11">
        <v>0</v>
      </c>
      <c r="V105" s="11">
        <v>1000</v>
      </c>
      <c r="W105" s="10" t="e">
        <v>#DIV/0!</v>
      </c>
      <c r="X105">
        <v>0</v>
      </c>
      <c r="Y105" s="12">
        <v>45943</v>
      </c>
      <c r="Z105" s="13">
        <v>0</v>
      </c>
      <c r="AA105" t="e">
        <f t="shared" si="1"/>
        <v>#DIV/0!</v>
      </c>
    </row>
    <row r="106" spans="1:27" x14ac:dyDescent="0.3">
      <c r="A106" t="s">
        <v>415</v>
      </c>
      <c r="B106" t="s">
        <v>416</v>
      </c>
      <c r="C106" t="s">
        <v>417</v>
      </c>
      <c r="D106" t="s">
        <v>418</v>
      </c>
      <c r="E106" t="s">
        <v>159</v>
      </c>
      <c r="F106" t="s">
        <v>32</v>
      </c>
      <c r="G106" t="s">
        <v>111</v>
      </c>
      <c r="H106" t="s">
        <v>34</v>
      </c>
      <c r="I106" t="s">
        <v>35</v>
      </c>
      <c r="J106" t="s">
        <v>36</v>
      </c>
      <c r="K106" s="9">
        <v>1147.84689</v>
      </c>
      <c r="L106" s="9">
        <v>2399</v>
      </c>
      <c r="M106" s="9">
        <v>2399</v>
      </c>
      <c r="N106">
        <v>0</v>
      </c>
      <c r="O106">
        <v>30</v>
      </c>
      <c r="P106" s="9">
        <v>0</v>
      </c>
      <c r="Q106" s="9">
        <v>0</v>
      </c>
      <c r="R106" s="9">
        <v>0</v>
      </c>
      <c r="S106" s="10">
        <v>0</v>
      </c>
      <c r="T106" s="9">
        <v>0</v>
      </c>
      <c r="U106" s="11">
        <v>0</v>
      </c>
      <c r="V106" s="11">
        <v>1000</v>
      </c>
      <c r="W106" s="10">
        <v>0</v>
      </c>
      <c r="X106" t="s">
        <v>419</v>
      </c>
      <c r="Y106" s="12">
        <v>45932</v>
      </c>
      <c r="Z106" s="13">
        <v>15</v>
      </c>
      <c r="AA106" t="e">
        <f t="shared" si="1"/>
        <v>#DIV/0!</v>
      </c>
    </row>
    <row r="107" spans="1:27" x14ac:dyDescent="0.3">
      <c r="A107" t="s">
        <v>420</v>
      </c>
      <c r="B107" t="s">
        <v>421</v>
      </c>
      <c r="C107" t="s">
        <v>375</v>
      </c>
      <c r="D107" t="s">
        <v>422</v>
      </c>
      <c r="E107" t="s">
        <v>159</v>
      </c>
      <c r="F107" t="s">
        <v>32</v>
      </c>
      <c r="G107" t="s">
        <v>423</v>
      </c>
      <c r="H107" t="s">
        <v>34</v>
      </c>
      <c r="I107" t="s">
        <v>35</v>
      </c>
      <c r="J107" t="s">
        <v>36</v>
      </c>
      <c r="K107" s="9">
        <v>812.91866000000005</v>
      </c>
      <c r="L107" s="9">
        <v>1699</v>
      </c>
      <c r="M107" s="9">
        <v>1699</v>
      </c>
      <c r="N107">
        <v>0</v>
      </c>
      <c r="O107">
        <v>20</v>
      </c>
      <c r="P107" s="9">
        <v>0</v>
      </c>
      <c r="Q107" s="9">
        <v>0</v>
      </c>
      <c r="R107" s="9">
        <v>0</v>
      </c>
      <c r="S107" s="10">
        <v>0</v>
      </c>
      <c r="T107" s="9">
        <v>0</v>
      </c>
      <c r="U107" s="11">
        <v>0</v>
      </c>
      <c r="V107" s="11">
        <v>1000</v>
      </c>
      <c r="W107" s="10">
        <v>0</v>
      </c>
      <c r="X107">
        <v>0</v>
      </c>
      <c r="Y107" s="12">
        <v>45945</v>
      </c>
      <c r="Z107" s="13">
        <v>10</v>
      </c>
      <c r="AA107" t="e">
        <f t="shared" si="1"/>
        <v>#DIV/0!</v>
      </c>
    </row>
    <row r="108" spans="1:27" x14ac:dyDescent="0.3">
      <c r="A108" t="s">
        <v>424</v>
      </c>
      <c r="B108" t="s">
        <v>425</v>
      </c>
      <c r="C108" t="s">
        <v>152</v>
      </c>
      <c r="D108" t="s">
        <v>355</v>
      </c>
      <c r="E108" t="s">
        <v>60</v>
      </c>
      <c r="F108" t="s">
        <v>48</v>
      </c>
      <c r="G108" t="s">
        <v>144</v>
      </c>
      <c r="H108" t="s">
        <v>88</v>
      </c>
      <c r="I108" t="s">
        <v>89</v>
      </c>
      <c r="J108" t="s">
        <v>36</v>
      </c>
      <c r="K108" s="9">
        <v>2077.4</v>
      </c>
      <c r="L108" s="9">
        <v>3999</v>
      </c>
      <c r="M108" s="9">
        <v>3999</v>
      </c>
      <c r="N108">
        <v>0</v>
      </c>
      <c r="O108">
        <v>0</v>
      </c>
      <c r="P108" s="9">
        <v>0</v>
      </c>
      <c r="Q108" s="9">
        <v>0</v>
      </c>
      <c r="R108" s="9">
        <v>0</v>
      </c>
      <c r="S108" s="10">
        <v>0</v>
      </c>
      <c r="T108" s="9">
        <v>0</v>
      </c>
      <c r="U108" s="11">
        <v>0</v>
      </c>
      <c r="V108" s="11">
        <v>1000</v>
      </c>
      <c r="W108" s="10" t="e">
        <v>#DIV/0!</v>
      </c>
      <c r="X108">
        <v>0</v>
      </c>
      <c r="Y108" s="12">
        <v>45943</v>
      </c>
      <c r="Z108" s="13">
        <v>0</v>
      </c>
      <c r="AA108" t="e">
        <f t="shared" si="1"/>
        <v>#DIV/0!</v>
      </c>
    </row>
    <row r="109" spans="1:27" x14ac:dyDescent="0.3">
      <c r="A109" t="s">
        <v>426</v>
      </c>
      <c r="B109" t="s">
        <v>425</v>
      </c>
      <c r="C109" t="s">
        <v>427</v>
      </c>
      <c r="D109" t="s">
        <v>428</v>
      </c>
      <c r="E109" t="s">
        <v>60</v>
      </c>
      <c r="F109" t="s">
        <v>48</v>
      </c>
      <c r="G109" t="s">
        <v>144</v>
      </c>
      <c r="H109" t="s">
        <v>88</v>
      </c>
      <c r="I109" t="s">
        <v>89</v>
      </c>
      <c r="J109" t="s">
        <v>36</v>
      </c>
      <c r="K109" s="9">
        <v>2077.4</v>
      </c>
      <c r="L109" s="9">
        <v>3999</v>
      </c>
      <c r="M109" s="9">
        <v>3999</v>
      </c>
      <c r="N109">
        <v>0</v>
      </c>
      <c r="O109">
        <v>0</v>
      </c>
      <c r="P109" s="9">
        <v>0</v>
      </c>
      <c r="Q109" s="9">
        <v>0</v>
      </c>
      <c r="R109" s="9">
        <v>0</v>
      </c>
      <c r="S109" s="10">
        <v>0</v>
      </c>
      <c r="T109" s="9">
        <v>0</v>
      </c>
      <c r="U109" s="11">
        <v>0</v>
      </c>
      <c r="V109" s="11">
        <v>1000</v>
      </c>
      <c r="W109" s="10" t="e">
        <v>#DIV/0!</v>
      </c>
      <c r="X109">
        <v>0</v>
      </c>
      <c r="Y109" s="12">
        <v>45943</v>
      </c>
      <c r="Z109" s="13">
        <v>0</v>
      </c>
      <c r="AA109" t="e">
        <f t="shared" si="1"/>
        <v>#DIV/0!</v>
      </c>
    </row>
    <row r="110" spans="1:27" x14ac:dyDescent="0.3">
      <c r="A110" t="s">
        <v>429</v>
      </c>
      <c r="B110" t="s">
        <v>430</v>
      </c>
      <c r="C110" t="s">
        <v>29</v>
      </c>
      <c r="D110" t="s">
        <v>40</v>
      </c>
      <c r="E110" t="s">
        <v>41</v>
      </c>
      <c r="F110" t="s">
        <v>99</v>
      </c>
      <c r="G110" t="s">
        <v>198</v>
      </c>
      <c r="H110" t="s">
        <v>88</v>
      </c>
      <c r="I110" t="s">
        <v>89</v>
      </c>
      <c r="J110" t="s">
        <v>36</v>
      </c>
      <c r="K110" s="9">
        <v>570.392157</v>
      </c>
      <c r="L110" s="9">
        <v>1599.95</v>
      </c>
      <c r="M110" s="9">
        <v>1599.95</v>
      </c>
      <c r="N110">
        <v>-1</v>
      </c>
      <c r="O110">
        <v>0</v>
      </c>
      <c r="P110" s="9">
        <v>-570.392157</v>
      </c>
      <c r="Q110" s="9">
        <v>-1599.95</v>
      </c>
      <c r="R110" s="9">
        <v>-1599.95</v>
      </c>
      <c r="S110" s="10">
        <v>0</v>
      </c>
      <c r="T110" s="9">
        <v>-1029.557843</v>
      </c>
      <c r="U110" s="11">
        <v>2.8049999993250259</v>
      </c>
      <c r="V110" s="11">
        <v>0</v>
      </c>
      <c r="W110" s="10">
        <v>1</v>
      </c>
      <c r="X110" t="s">
        <v>431</v>
      </c>
      <c r="Y110" s="12">
        <v>45812</v>
      </c>
      <c r="Z110" s="13">
        <v>0</v>
      </c>
      <c r="AA110">
        <f t="shared" si="1"/>
        <v>34.294999987175494</v>
      </c>
    </row>
  </sheetData>
  <autoFilter ref="A1:Z110" xr:uid="{08A1EAF2-BB27-4D9E-A2AD-5A7752EEEA54}">
    <sortState xmlns:xlrd2="http://schemas.microsoft.com/office/spreadsheetml/2017/richdata2" ref="A2:Z107">
      <sortCondition descending="1" ref="N1:N1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Düzenli Data Örnek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Abdussamed Ateş</dc:creator>
  <cp:lastModifiedBy>Abdussamed Ateş</cp:lastModifiedBy>
  <dcterms:created xsi:type="dcterms:W3CDTF">2026-05-15T09:33:09Z</dcterms:created>
  <dcterms:modified xsi:type="dcterms:W3CDTF">2026-05-15T09:33:23Z</dcterms:modified>
</cp:coreProperties>
</file>